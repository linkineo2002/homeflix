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G:\Meu Drive\Pendrive\Fabio\Carteira VBA\"/>
    </mc:Choice>
  </mc:AlternateContent>
  <xr:revisionPtr revIDLastSave="0" documentId="13_ncr:1_{471E7D1E-59B1-4BFD-BE71-AA82DF2E9D03}" xr6:coauthVersionLast="47" xr6:coauthVersionMax="47" xr10:uidLastSave="{00000000-0000-0000-0000-000000000000}"/>
  <bookViews>
    <workbookView xWindow="-120" yWindow="-120" windowWidth="29040" windowHeight="15720" tabRatio="785" xr2:uid="{00000000-000D-0000-FFFF-FFFF00000000}"/>
  </bookViews>
  <sheets>
    <sheet name="Consolidado" sheetId="2" r:id="rId1"/>
    <sheet name="Portfolio" sheetId="1" r:id="rId2"/>
    <sheet name="Movimentações" sheetId="12" r:id="rId3"/>
    <sheet name="Rebalanceamento" sheetId="16" r:id="rId4"/>
    <sheet name="Preços" sheetId="3" r:id="rId5"/>
    <sheet name="Proventos" sheetId="20" r:id="rId6"/>
    <sheet name="Fechamento" sheetId="17" r:id="rId7"/>
    <sheet name="ConfigConexoes" sheetId="21" state="veryHidden" r:id="rId8"/>
    <sheet name="CDI" sheetId="19" r:id="rId9"/>
    <sheet name="Mov_Nacional" sheetId="5" state="hidden" r:id="rId10"/>
    <sheet name="Mov_Internacional" sheetId="15" state="hidden" r:id="rId11"/>
    <sheet name="Mov_Crypto" sheetId="11" state="hidden" r:id="rId12"/>
    <sheet name="Crypto" sheetId="14" state="hidden" r:id="rId13"/>
    <sheet name="Portfolio_Aux" sheetId="4" state="hidden" r:id="rId14"/>
  </sheets>
  <functionGroups builtInGroupCount="19"/>
  <definedNames>
    <definedName name="_FilterDatabase" localSheetId="11" hidden="1">Mov_Crypto!$A$1:$I$33</definedName>
    <definedName name="_FilterDatabase" localSheetId="2" hidden="1">Movimentações!$A$1:$I$1</definedName>
    <definedName name="_xlnm._FilterDatabase" localSheetId="2" hidden="1">Movimentações!$A$1:$I$1</definedName>
    <definedName name="_xleta.FLOOR.MATH" hidden="1" xlm="1">#NAME?</definedName>
    <definedName name="_xleta.IF" hidden="1" xlm="1">#NAME?</definedName>
    <definedName name="Acoes">Consolidado!$C$6</definedName>
    <definedName name="Aporte_Resgates">Consolidado!#REF!</definedName>
    <definedName name="Corretagem" localSheetId="11">Mov_Crypto!#REF!</definedName>
    <definedName name="Corretagem" localSheetId="2">Movimentações!$H:$H</definedName>
    <definedName name="Corretagem">Mov_Nacional!#REF!</definedName>
    <definedName name="Crypto">Consolidado!$C$11</definedName>
    <definedName name="CV" localSheetId="11">Mov_Crypto!$D:$D</definedName>
    <definedName name="CV" localSheetId="2">Movimentações!$D:$D</definedName>
    <definedName name="CV">Mov_Nacional!$D:$D</definedName>
    <definedName name="DadosExternos_1" localSheetId="8" hidden="1">CDI!$A$1:$N$28</definedName>
    <definedName name="Data" localSheetId="11">Mov_Crypto!$A$1</definedName>
    <definedName name="Data" localSheetId="2">Movimentações!$A$1</definedName>
    <definedName name="Data">Mov_Nacional!$A$1</definedName>
    <definedName name="Exterior">Consolidado!$C$9</definedName>
    <definedName name="FII">Consolidado!$C$8</definedName>
    <definedName name="mecomdse" localSheetId="2" hidden="1">Movimentações!$A$1:$I$1</definedName>
    <definedName name="Preco" localSheetId="11">Mov_Crypto!$G:$G</definedName>
    <definedName name="Preco" localSheetId="2">Movimentações!$G:$G</definedName>
    <definedName name="Preco">Mov_Nacional!$G:$G</definedName>
    <definedName name="Quantidade" localSheetId="11">Mov_Crypto!$F:$F</definedName>
    <definedName name="Quantidade" localSheetId="2">Movimentações!$F:$F</definedName>
    <definedName name="Quantidade">Mov_Nacional!$F:$F</definedName>
    <definedName name="Range_Dados_Usuario">Portfolio!$B$5:$E$1048576</definedName>
    <definedName name="Range_Dados_Usuario2">Portfolio!#REF!</definedName>
    <definedName name="Range_Precos">Preços!$B$9:$C$239</definedName>
    <definedName name="Renda_Fixa">Consolidado!$C$5</definedName>
    <definedName name="Taxas" localSheetId="11">Mov_Crypto!#REF!</definedName>
    <definedName name="Taxas" localSheetId="2">Movimentações!$I:$I</definedName>
    <definedName name="Taxas">Mov_Nacional!#REF!</definedName>
    <definedName name="Tikcer" localSheetId="11">Mov_Crypto!$E:$E</definedName>
    <definedName name="Tikcer" localSheetId="2">Movimentações!$E:$E</definedName>
    <definedName name="Tikcer">Mov_Nacional!$E:$E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7" l="1"/>
  <c r="B3" i="17"/>
  <c r="C4" i="17"/>
  <c r="C5" i="17" s="1"/>
  <c r="B5" i="17" s="1"/>
  <c r="E27" i="17"/>
  <c r="M7" i="2"/>
  <c r="S1" i="15" a="1"/>
  <c r="B4" i="17" l="1"/>
  <c r="C6" i="17"/>
  <c r="S1" i="15"/>
  <c r="V1" i="15"/>
  <c r="U1" i="15"/>
  <c r="T1" i="15"/>
  <c r="C7" i="17" l="1"/>
  <c r="B6" i="17"/>
  <c r="F73" i="1"/>
  <c r="F72" i="1"/>
  <c r="F71" i="1"/>
  <c r="F70" i="1"/>
  <c r="F69" i="1"/>
  <c r="F68" i="1"/>
  <c r="F67" i="1"/>
  <c r="F66" i="1"/>
  <c r="F65" i="1"/>
  <c r="F64" i="1"/>
  <c r="F63" i="1"/>
  <c r="F62" i="1"/>
  <c r="F61" i="1"/>
  <c r="F60" i="1"/>
  <c r="F59" i="1"/>
  <c r="F58" i="1"/>
  <c r="F57" i="1"/>
  <c r="F56" i="1"/>
  <c r="F55" i="1"/>
  <c r="F54" i="1"/>
  <c r="F53" i="1"/>
  <c r="F52" i="1"/>
  <c r="F51" i="1"/>
  <c r="F50" i="1"/>
  <c r="F49" i="1"/>
  <c r="F48" i="1"/>
  <c r="F47" i="1"/>
  <c r="B7" i="17" l="1"/>
  <c r="C8" i="17"/>
  <c r="C19" i="3"/>
  <c r="E19" i="3" a="1"/>
  <c r="E19" i="3" s="1"/>
  <c r="F30" i="16"/>
  <c r="F29" i="16"/>
  <c r="F28" i="16"/>
  <c r="F27" i="16"/>
  <c r="F26" i="16"/>
  <c r="F31" i="16"/>
  <c r="B60" i="3" a="1"/>
  <c r="B60" i="3" s="1"/>
  <c r="B59" i="3" a="1"/>
  <c r="B59" i="3" s="1"/>
  <c r="E59" i="3" s="1" a="1"/>
  <c r="E59" i="3" s="1"/>
  <c r="C59" i="3" s="1"/>
  <c r="B58" i="3" a="1"/>
  <c r="B58" i="3" s="1"/>
  <c r="Q23" i="16"/>
  <c r="B33" i="16"/>
  <c r="A101" i="3"/>
  <c r="E101" i="3" s="1"/>
  <c r="C101" i="3" s="1"/>
  <c r="Q51" i="16"/>
  <c r="M51" i="16"/>
  <c r="F51" i="16"/>
  <c r="Q50" i="16"/>
  <c r="M50" i="16"/>
  <c r="F50" i="16"/>
  <c r="Q49" i="16"/>
  <c r="M49" i="16"/>
  <c r="F49" i="16"/>
  <c r="Q48" i="16"/>
  <c r="M48" i="16"/>
  <c r="F48" i="16"/>
  <c r="Q47" i="16"/>
  <c r="M47" i="16"/>
  <c r="F47" i="16"/>
  <c r="A98" i="3"/>
  <c r="E98" i="3" s="1"/>
  <c r="C98" i="3" s="1"/>
  <c r="A97" i="3"/>
  <c r="E97" i="3" s="1"/>
  <c r="C97" i="3" s="1"/>
  <c r="E105" i="3"/>
  <c r="C105" i="3" s="1"/>
  <c r="E104" i="3"/>
  <c r="C104" i="3" s="1"/>
  <c r="E103" i="3"/>
  <c r="C103" i="3" s="1"/>
  <c r="E102" i="3"/>
  <c r="C102" i="3" s="1"/>
  <c r="A96" i="3"/>
  <c r="E96" i="3" s="1"/>
  <c r="C96" i="3" s="1"/>
  <c r="A94" i="3"/>
  <c r="E94" i="3" s="1"/>
  <c r="C94" i="3" s="1"/>
  <c r="A93" i="3"/>
  <c r="E93" i="3" s="1"/>
  <c r="C93" i="3" s="1"/>
  <c r="A95" i="3"/>
  <c r="E95" i="3" s="1"/>
  <c r="C95" i="3" s="1"/>
  <c r="A99" i="3"/>
  <c r="E99" i="3" s="1"/>
  <c r="C99" i="3" s="1"/>
  <c r="A100" i="3"/>
  <c r="E100" i="3" s="1"/>
  <c r="C100" i="3" s="1"/>
  <c r="A92" i="3"/>
  <c r="E92" i="3" s="1"/>
  <c r="C92" i="3" s="1"/>
  <c r="A88" i="3"/>
  <c r="E88" i="3" s="1"/>
  <c r="C88" i="3" s="1"/>
  <c r="A89" i="3"/>
  <c r="E89" i="3" s="1"/>
  <c r="C89" i="3" s="1"/>
  <c r="B3" i="3" a="1"/>
  <c r="B3" i="3" s="1"/>
  <c r="A91" i="3"/>
  <c r="E91" i="3" s="1"/>
  <c r="C91" i="3" s="1"/>
  <c r="F18" i="16"/>
  <c r="F15" i="16"/>
  <c r="F17" i="16"/>
  <c r="F16" i="16"/>
  <c r="H68" i="3"/>
  <c r="G68" i="3" s="1"/>
  <c r="E71" i="3"/>
  <c r="C71" i="3"/>
  <c r="E70" i="3"/>
  <c r="C70" i="3"/>
  <c r="E69" i="3"/>
  <c r="C69" i="3"/>
  <c r="B68" i="3"/>
  <c r="E68" i="3" s="1"/>
  <c r="M43" i="16"/>
  <c r="M44" i="16"/>
  <c r="M45" i="16"/>
  <c r="M46" i="16"/>
  <c r="M52" i="16"/>
  <c r="M40" i="16"/>
  <c r="M41" i="16"/>
  <c r="M42" i="16"/>
  <c r="M38" i="16"/>
  <c r="M39" i="16"/>
  <c r="M37" i="16"/>
  <c r="M35" i="16"/>
  <c r="M36" i="16"/>
  <c r="Q36" i="16"/>
  <c r="Q37" i="16"/>
  <c r="Q38" i="16"/>
  <c r="Q39" i="16"/>
  <c r="Q40" i="16"/>
  <c r="Q41" i="16"/>
  <c r="Q42" i="16"/>
  <c r="Q43" i="16"/>
  <c r="Q44" i="16"/>
  <c r="Q45" i="16"/>
  <c r="Q46" i="16"/>
  <c r="Q52" i="16"/>
  <c r="Q35" i="16"/>
  <c r="A90" i="3"/>
  <c r="E90" i="3" s="1"/>
  <c r="C90" i="3" s="1"/>
  <c r="B9" i="3" a="1"/>
  <c r="B9" i="3" s="1"/>
  <c r="B10" i="3" a="1"/>
  <c r="B10" i="3" s="1"/>
  <c r="E10" i="3" s="1" a="1"/>
  <c r="E10" i="3" s="1"/>
  <c r="B11" i="3" a="1"/>
  <c r="B11" i="3" s="1"/>
  <c r="E11" i="3" s="1" a="1"/>
  <c r="E11" i="3" s="1"/>
  <c r="B12" i="3" a="1"/>
  <c r="B12" i="3" s="1"/>
  <c r="E12" i="3" s="1" a="1"/>
  <c r="E12" i="3" s="1"/>
  <c r="B13" i="3" a="1"/>
  <c r="B13" i="3" s="1"/>
  <c r="E13" i="3" s="1" a="1"/>
  <c r="E13" i="3" s="1"/>
  <c r="B14" i="3" a="1"/>
  <c r="B14" i="3" s="1"/>
  <c r="B15" i="3" a="1"/>
  <c r="B15" i="3" s="1"/>
  <c r="B16" i="3" a="1"/>
  <c r="B16" i="3" s="1"/>
  <c r="B17" i="3" a="1"/>
  <c r="B17" i="3" s="1"/>
  <c r="B18" i="3" a="1"/>
  <c r="B18" i="3" s="1"/>
  <c r="B38" i="3" a="1"/>
  <c r="B38" i="3" s="1"/>
  <c r="E38" i="3" s="1"/>
  <c r="B39" i="3" a="1"/>
  <c r="B39" i="3" s="1"/>
  <c r="E39" i="3" s="1"/>
  <c r="B40" i="3" a="1"/>
  <c r="B40" i="3" s="1"/>
  <c r="E40" i="3" s="1"/>
  <c r="B41" i="3" a="1"/>
  <c r="B41" i="3" s="1"/>
  <c r="E41" i="3" s="1"/>
  <c r="B42" i="3" a="1"/>
  <c r="B42" i="3" s="1"/>
  <c r="E42" i="3" s="1"/>
  <c r="B43" i="3" a="1"/>
  <c r="B43" i="3" s="1"/>
  <c r="B44" i="3" a="1"/>
  <c r="B44" i="3" s="1"/>
  <c r="E44" i="3" s="1"/>
  <c r="B45" i="3" a="1"/>
  <c r="B45" i="3" s="1"/>
  <c r="E45" i="3" s="1"/>
  <c r="B52" i="3" a="1"/>
  <c r="B52" i="3" s="1"/>
  <c r="E52" i="3" s="1" a="1"/>
  <c r="E52" i="3" s="1"/>
  <c r="B53" i="3" a="1"/>
  <c r="B53" i="3" s="1"/>
  <c r="E53" i="3" s="1" a="1"/>
  <c r="E53" i="3" s="1"/>
  <c r="B54" i="3" a="1"/>
  <c r="B54" i="3" s="1"/>
  <c r="B55" i="3" a="1"/>
  <c r="B55" i="3" s="1"/>
  <c r="B56" i="3" a="1"/>
  <c r="B56" i="3" s="1"/>
  <c r="E56" i="3" s="1" a="1"/>
  <c r="E56" i="3" s="1"/>
  <c r="C56" i="3" s="1"/>
  <c r="B57" i="3" a="1"/>
  <c r="B57" i="3" s="1"/>
  <c r="E57" i="3" s="1" a="1"/>
  <c r="E57" i="3" s="1"/>
  <c r="F22" i="16"/>
  <c r="F23" i="16"/>
  <c r="F24" i="16"/>
  <c r="F25" i="16"/>
  <c r="F42" i="16"/>
  <c r="G61" i="16"/>
  <c r="G64" i="16"/>
  <c r="G65" i="16"/>
  <c r="G66" i="16"/>
  <c r="G67" i="16"/>
  <c r="G68" i="16"/>
  <c r="D54" i="16"/>
  <c r="M68" i="16"/>
  <c r="F68" i="16"/>
  <c r="M67" i="16"/>
  <c r="F67" i="16"/>
  <c r="M66" i="16"/>
  <c r="F66" i="16"/>
  <c r="M65" i="16"/>
  <c r="F65" i="16"/>
  <c r="M64" i="16"/>
  <c r="F64" i="16"/>
  <c r="M63" i="16"/>
  <c r="F63" i="16"/>
  <c r="M62" i="16"/>
  <c r="F62" i="16"/>
  <c r="M61" i="16"/>
  <c r="F61" i="16"/>
  <c r="M60" i="16"/>
  <c r="F60" i="16"/>
  <c r="M59" i="16"/>
  <c r="F59" i="16"/>
  <c r="M58" i="16"/>
  <c r="F58" i="16"/>
  <c r="E1" i="2"/>
  <c r="J2" i="2" s="1"/>
  <c r="M57" i="16"/>
  <c r="F57" i="16"/>
  <c r="M56" i="16"/>
  <c r="F56" i="16"/>
  <c r="B54" i="16"/>
  <c r="F35" i="16"/>
  <c r="F36" i="16"/>
  <c r="F37" i="16"/>
  <c r="F40" i="16"/>
  <c r="F38" i="16"/>
  <c r="F44" i="16"/>
  <c r="F45" i="16"/>
  <c r="F41" i="16"/>
  <c r="F39" i="16"/>
  <c r="F46" i="16"/>
  <c r="F43" i="16"/>
  <c r="F52" i="16"/>
  <c r="D33" i="16"/>
  <c r="K54" i="1"/>
  <c r="K55" i="1"/>
  <c r="I56" i="1"/>
  <c r="I57" i="1"/>
  <c r="K58" i="1"/>
  <c r="K59" i="1"/>
  <c r="I60" i="1"/>
  <c r="K61" i="1"/>
  <c r="K62" i="1"/>
  <c r="I63" i="1"/>
  <c r="K64" i="1"/>
  <c r="K65" i="1"/>
  <c r="L66" i="1"/>
  <c r="K67" i="1"/>
  <c r="L68" i="1"/>
  <c r="K69" i="1"/>
  <c r="K70" i="1"/>
  <c r="K71" i="1"/>
  <c r="K72" i="1"/>
  <c r="K73" i="1"/>
  <c r="A81" i="3"/>
  <c r="A87" i="3"/>
  <c r="A86" i="3"/>
  <c r="P1" i="15" a="1"/>
  <c r="P1" i="15" s="1"/>
  <c r="A82" i="3"/>
  <c r="A83" i="3"/>
  <c r="A84" i="3"/>
  <c r="A85" i="3"/>
  <c r="A76" i="3"/>
  <c r="E76" i="3" s="1"/>
  <c r="C76" i="3" s="1"/>
  <c r="A79" i="3"/>
  <c r="E79" i="3" s="1"/>
  <c r="C79" i="3" s="1"/>
  <c r="A78" i="3"/>
  <c r="E78" i="3" s="1"/>
  <c r="C78" i="3" s="1"/>
  <c r="A77" i="3"/>
  <c r="E77" i="3" s="1"/>
  <c r="C77" i="3" s="1"/>
  <c r="A80" i="3"/>
  <c r="E80" i="3" s="1"/>
  <c r="C80" i="3" s="1"/>
  <c r="A75" i="3"/>
  <c r="E75" i="3" s="1"/>
  <c r="C75" i="3" s="1"/>
  <c r="G9" i="16"/>
  <c r="G3" i="16"/>
  <c r="G4" i="16"/>
  <c r="G5" i="16"/>
  <c r="G6" i="16"/>
  <c r="G7" i="16"/>
  <c r="G8" i="16"/>
  <c r="F9" i="16"/>
  <c r="F8" i="16"/>
  <c r="F7" i="16"/>
  <c r="F6" i="16"/>
  <c r="F5" i="16"/>
  <c r="F4" i="16"/>
  <c r="F3" i="16"/>
  <c r="F13" i="16"/>
  <c r="F14" i="16"/>
  <c r="D20" i="16"/>
  <c r="D11" i="16"/>
  <c r="D1" i="16"/>
  <c r="C34" i="3"/>
  <c r="C35" i="3"/>
  <c r="C36" i="3"/>
  <c r="C37" i="3"/>
  <c r="C50" i="3"/>
  <c r="C51" i="3"/>
  <c r="C62" i="3"/>
  <c r="C63" i="3"/>
  <c r="C64" i="3"/>
  <c r="C74" i="3"/>
  <c r="C65" i="3"/>
  <c r="C66" i="3"/>
  <c r="C67" i="3"/>
  <c r="C72" i="3"/>
  <c r="C73"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E3" i="20"/>
  <c r="E4" i="20"/>
  <c r="E46" i="20"/>
  <c r="E11" i="20"/>
  <c r="E12" i="20"/>
  <c r="E13" i="20"/>
  <c r="E21" i="20"/>
  <c r="E22" i="20"/>
  <c r="E34" i="20"/>
  <c r="E45" i="20"/>
  <c r="E34" i="3"/>
  <c r="E36" i="3"/>
  <c r="E35" i="3"/>
  <c r="E72" i="3"/>
  <c r="E65" i="3"/>
  <c r="E66" i="3"/>
  <c r="E67" i="3"/>
  <c r="E73"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049" i="20"/>
  <c r="E2048" i="20"/>
  <c r="E2047" i="20"/>
  <c r="E2046" i="20"/>
  <c r="E2045" i="20"/>
  <c r="E2044" i="20"/>
  <c r="E2043" i="20"/>
  <c r="E2042" i="20"/>
  <c r="E2041" i="20"/>
  <c r="E2040" i="20"/>
  <c r="E2039" i="20"/>
  <c r="E2038" i="20"/>
  <c r="E2037" i="20"/>
  <c r="E2036" i="20"/>
  <c r="E2035" i="20"/>
  <c r="E2034" i="20"/>
  <c r="E2033" i="20"/>
  <c r="E2032" i="20"/>
  <c r="E2031" i="20"/>
  <c r="E2030" i="20"/>
  <c r="E2029" i="20"/>
  <c r="E2028" i="20"/>
  <c r="E2027" i="20"/>
  <c r="E2026" i="20"/>
  <c r="E2025" i="20"/>
  <c r="E2024" i="20"/>
  <c r="E2023" i="20"/>
  <c r="E2022" i="20"/>
  <c r="E2021" i="20"/>
  <c r="E2020" i="20"/>
  <c r="E2019" i="20"/>
  <c r="E2018" i="20"/>
  <c r="E2017" i="20"/>
  <c r="E2016" i="20"/>
  <c r="E2015" i="20"/>
  <c r="E2014" i="20"/>
  <c r="E2013" i="20"/>
  <c r="E2012" i="20"/>
  <c r="E2011" i="20"/>
  <c r="E2010" i="20"/>
  <c r="E2009" i="20"/>
  <c r="E2008" i="20"/>
  <c r="E2007" i="20"/>
  <c r="E2006" i="20"/>
  <c r="E2005" i="20"/>
  <c r="E2004" i="20"/>
  <c r="E2003" i="20"/>
  <c r="E2002" i="20"/>
  <c r="E2001" i="20"/>
  <c r="E2000" i="20"/>
  <c r="E1999" i="20"/>
  <c r="E1998" i="20"/>
  <c r="E1997" i="20"/>
  <c r="E1996" i="20"/>
  <c r="E1995" i="20"/>
  <c r="E1994" i="20"/>
  <c r="E1993" i="20"/>
  <c r="E1992" i="20"/>
  <c r="E1991" i="20"/>
  <c r="E1990" i="20"/>
  <c r="E1989" i="20"/>
  <c r="E1988" i="20"/>
  <c r="E1987" i="20"/>
  <c r="E1986" i="20"/>
  <c r="E1985" i="20"/>
  <c r="E1984" i="20"/>
  <c r="E1983" i="20"/>
  <c r="E1982" i="20"/>
  <c r="E1981" i="20"/>
  <c r="E1980" i="20"/>
  <c r="E1979" i="20"/>
  <c r="E1978" i="20"/>
  <c r="E1977" i="20"/>
  <c r="E1976" i="20"/>
  <c r="E1975" i="20"/>
  <c r="E1974" i="20"/>
  <c r="E1973" i="20"/>
  <c r="E1972" i="20"/>
  <c r="E1971" i="20"/>
  <c r="E1970" i="20"/>
  <c r="E1969" i="20"/>
  <c r="E1968" i="20"/>
  <c r="E1967" i="20"/>
  <c r="E1966" i="20"/>
  <c r="E1965" i="20"/>
  <c r="E1964" i="20"/>
  <c r="E1963" i="20"/>
  <c r="E1962" i="20"/>
  <c r="E1961" i="20"/>
  <c r="E1960" i="20"/>
  <c r="E1959" i="20"/>
  <c r="E1958" i="20"/>
  <c r="E1957" i="20"/>
  <c r="E1956" i="20"/>
  <c r="E1955" i="20"/>
  <c r="E1954" i="20"/>
  <c r="E1953" i="20"/>
  <c r="E1952" i="20"/>
  <c r="E1951" i="20"/>
  <c r="E1950" i="20"/>
  <c r="E1949" i="20"/>
  <c r="E1948" i="20"/>
  <c r="E1947" i="20"/>
  <c r="E1946" i="20"/>
  <c r="E1945" i="20"/>
  <c r="E1944" i="20"/>
  <c r="E1943" i="20"/>
  <c r="E1942" i="20"/>
  <c r="E1941" i="20"/>
  <c r="E1940" i="20"/>
  <c r="E1939" i="20"/>
  <c r="E1938" i="20"/>
  <c r="E1937" i="20"/>
  <c r="E1936" i="20"/>
  <c r="E1935" i="20"/>
  <c r="E1934" i="20"/>
  <c r="E1933" i="20"/>
  <c r="E1932" i="20"/>
  <c r="E1931" i="20"/>
  <c r="E1930" i="20"/>
  <c r="E1929" i="20"/>
  <c r="E1928" i="20"/>
  <c r="E1927" i="20"/>
  <c r="E1926" i="20"/>
  <c r="E1925" i="20"/>
  <c r="E1924" i="20"/>
  <c r="E1923" i="20"/>
  <c r="E1922" i="20"/>
  <c r="E1921" i="20"/>
  <c r="E1920" i="20"/>
  <c r="E1919" i="20"/>
  <c r="E1918" i="20"/>
  <c r="E1917" i="20"/>
  <c r="E1916" i="20"/>
  <c r="E1915" i="20"/>
  <c r="E1914" i="20"/>
  <c r="E1913" i="20"/>
  <c r="E1912" i="20"/>
  <c r="E1911" i="20"/>
  <c r="E1910" i="20"/>
  <c r="E1909" i="20"/>
  <c r="E1908" i="20"/>
  <c r="E1907" i="20"/>
  <c r="E1906" i="20"/>
  <c r="E1905" i="20"/>
  <c r="E1904" i="20"/>
  <c r="E1903" i="20"/>
  <c r="E1902" i="20"/>
  <c r="E1901" i="20"/>
  <c r="E1900" i="20"/>
  <c r="E1899" i="20"/>
  <c r="E1898" i="20"/>
  <c r="E1897" i="20"/>
  <c r="E1896" i="20"/>
  <c r="E1895" i="20"/>
  <c r="E1894" i="20"/>
  <c r="E1893" i="20"/>
  <c r="E1892" i="20"/>
  <c r="E1891" i="20"/>
  <c r="E1890" i="20"/>
  <c r="E1889" i="20"/>
  <c r="E1888" i="20"/>
  <c r="E1887" i="20"/>
  <c r="E1886" i="20"/>
  <c r="E1885" i="20"/>
  <c r="E1884" i="20"/>
  <c r="E1883" i="20"/>
  <c r="E1882" i="20"/>
  <c r="E1881" i="20"/>
  <c r="E1880" i="20"/>
  <c r="E1879" i="20"/>
  <c r="E1878" i="20"/>
  <c r="E1877" i="20"/>
  <c r="E1876" i="20"/>
  <c r="E1875" i="20"/>
  <c r="E1874" i="20"/>
  <c r="E1873" i="20"/>
  <c r="E1872" i="20"/>
  <c r="E1871" i="20"/>
  <c r="E1870" i="20"/>
  <c r="E1869" i="20"/>
  <c r="E1868" i="20"/>
  <c r="E1867" i="20"/>
  <c r="E1866" i="20"/>
  <c r="E1865" i="20"/>
  <c r="E1864" i="20"/>
  <c r="E1863" i="20"/>
  <c r="E1862" i="20"/>
  <c r="E1861" i="20"/>
  <c r="E1860" i="20"/>
  <c r="E1859" i="20"/>
  <c r="E1858" i="20"/>
  <c r="E1857" i="20"/>
  <c r="E1856" i="20"/>
  <c r="E1855" i="20"/>
  <c r="E1854" i="20"/>
  <c r="E1853" i="20"/>
  <c r="E1852" i="20"/>
  <c r="E1851" i="20"/>
  <c r="E1850" i="20"/>
  <c r="E1849" i="20"/>
  <c r="E1848" i="20"/>
  <c r="E1847" i="20"/>
  <c r="E1846" i="20"/>
  <c r="E1845" i="20"/>
  <c r="E1844" i="20"/>
  <c r="E1843" i="20"/>
  <c r="E1842" i="20"/>
  <c r="E1841" i="20"/>
  <c r="E1840" i="20"/>
  <c r="E1839" i="20"/>
  <c r="E1838" i="20"/>
  <c r="E1837" i="20"/>
  <c r="E1836" i="20"/>
  <c r="E1835" i="20"/>
  <c r="E1834" i="20"/>
  <c r="E1833" i="20"/>
  <c r="E1832" i="20"/>
  <c r="E1831" i="20"/>
  <c r="E1830" i="20"/>
  <c r="E1829" i="20"/>
  <c r="E1828" i="20"/>
  <c r="E1827" i="20"/>
  <c r="E1826" i="20"/>
  <c r="E1825" i="20"/>
  <c r="E1824" i="20"/>
  <c r="E1823" i="20"/>
  <c r="E1822" i="20"/>
  <c r="E1821" i="20"/>
  <c r="E1820" i="20"/>
  <c r="E1819" i="20"/>
  <c r="E1818" i="20"/>
  <c r="E1817" i="20"/>
  <c r="E1816" i="20"/>
  <c r="E1815" i="20"/>
  <c r="E1814" i="20"/>
  <c r="E1813" i="20"/>
  <c r="E1812" i="20"/>
  <c r="E1811" i="20"/>
  <c r="E1810" i="20"/>
  <c r="E1809" i="20"/>
  <c r="E1808" i="20"/>
  <c r="E1807" i="20"/>
  <c r="E1806" i="20"/>
  <c r="E1805" i="20"/>
  <c r="E1804" i="20"/>
  <c r="E1803" i="20"/>
  <c r="E1802" i="20"/>
  <c r="E1801" i="20"/>
  <c r="E1800" i="20"/>
  <c r="E1799" i="20"/>
  <c r="E1798" i="20"/>
  <c r="E1797" i="20"/>
  <c r="E1796" i="20"/>
  <c r="E1795" i="20"/>
  <c r="E1794" i="20"/>
  <c r="E1793" i="20"/>
  <c r="E1792" i="20"/>
  <c r="E1791" i="20"/>
  <c r="E1790" i="20"/>
  <c r="E1789" i="20"/>
  <c r="E1788" i="20"/>
  <c r="E1787" i="20"/>
  <c r="E1786" i="20"/>
  <c r="E1785" i="20"/>
  <c r="E1784" i="20"/>
  <c r="E1783" i="20"/>
  <c r="E1782" i="20"/>
  <c r="E1781" i="20"/>
  <c r="E1780" i="20"/>
  <c r="E1779" i="20"/>
  <c r="E1778" i="20"/>
  <c r="E1777" i="20"/>
  <c r="E1776" i="20"/>
  <c r="E1775" i="20"/>
  <c r="E1774" i="20"/>
  <c r="E1773" i="20"/>
  <c r="E1772" i="20"/>
  <c r="E1771" i="20"/>
  <c r="E1770" i="20"/>
  <c r="E1769" i="20"/>
  <c r="E1768" i="20"/>
  <c r="E1767" i="20"/>
  <c r="E1766" i="20"/>
  <c r="E1765" i="20"/>
  <c r="E1764" i="20"/>
  <c r="E1763" i="20"/>
  <c r="E1762" i="20"/>
  <c r="E1761" i="20"/>
  <c r="E1760" i="20"/>
  <c r="E1759" i="20"/>
  <c r="E1758" i="20"/>
  <c r="E1757" i="20"/>
  <c r="E1756" i="20"/>
  <c r="E1755" i="20"/>
  <c r="E1754" i="20"/>
  <c r="E1753" i="20"/>
  <c r="E1752" i="20"/>
  <c r="E1751" i="20"/>
  <c r="E1750" i="20"/>
  <c r="E1749" i="20"/>
  <c r="E1748" i="20"/>
  <c r="E1747" i="20"/>
  <c r="E1746" i="20"/>
  <c r="E1745" i="20"/>
  <c r="E1744" i="20"/>
  <c r="E1743" i="20"/>
  <c r="E1742" i="20"/>
  <c r="E1741" i="20"/>
  <c r="E1740" i="20"/>
  <c r="E1739" i="20"/>
  <c r="E1738" i="20"/>
  <c r="E1737" i="20"/>
  <c r="E1736" i="20"/>
  <c r="E1735" i="20"/>
  <c r="E1734" i="20"/>
  <c r="E1733" i="20"/>
  <c r="E1732" i="20"/>
  <c r="E1731" i="20"/>
  <c r="E1730" i="20"/>
  <c r="E1729" i="20"/>
  <c r="E1728" i="20"/>
  <c r="E1727" i="20"/>
  <c r="E1726" i="20"/>
  <c r="E1725" i="20"/>
  <c r="E1724" i="20"/>
  <c r="E1723" i="20"/>
  <c r="E1722" i="20"/>
  <c r="E1721" i="20"/>
  <c r="E1720" i="20"/>
  <c r="E1719" i="20"/>
  <c r="E1718" i="20"/>
  <c r="E1717" i="20"/>
  <c r="E1716" i="20"/>
  <c r="E1715" i="20"/>
  <c r="E1714" i="20"/>
  <c r="E1713" i="20"/>
  <c r="E1712" i="20"/>
  <c r="E1711" i="20"/>
  <c r="E1710" i="20"/>
  <c r="E1709" i="20"/>
  <c r="E1708" i="20"/>
  <c r="E1707" i="20"/>
  <c r="E1706" i="20"/>
  <c r="E1705" i="20"/>
  <c r="E1704" i="20"/>
  <c r="E1703" i="20"/>
  <c r="E1702" i="20"/>
  <c r="E1701" i="20"/>
  <c r="E1700" i="20"/>
  <c r="E1699" i="20"/>
  <c r="E1698" i="20"/>
  <c r="E1697" i="20"/>
  <c r="E1696" i="20"/>
  <c r="E1695" i="20"/>
  <c r="E1694" i="20"/>
  <c r="E1693" i="20"/>
  <c r="E1692" i="20"/>
  <c r="E1691" i="20"/>
  <c r="E1690" i="20"/>
  <c r="E1689" i="20"/>
  <c r="E1688" i="20"/>
  <c r="E1687" i="20"/>
  <c r="E1686" i="20"/>
  <c r="E1685" i="20"/>
  <c r="E1684" i="20"/>
  <c r="E1683" i="20"/>
  <c r="E1682" i="20"/>
  <c r="E1681" i="20"/>
  <c r="E1680" i="20"/>
  <c r="E1679" i="20"/>
  <c r="E1678" i="20"/>
  <c r="E1677" i="20"/>
  <c r="E1676" i="20"/>
  <c r="E1675" i="20"/>
  <c r="E1674" i="20"/>
  <c r="E1673" i="20"/>
  <c r="E1672" i="20"/>
  <c r="E1671" i="20"/>
  <c r="E1670" i="20"/>
  <c r="E1669" i="20"/>
  <c r="E1668" i="20"/>
  <c r="E1667" i="20"/>
  <c r="E1666" i="20"/>
  <c r="E1665" i="20"/>
  <c r="E1664" i="20"/>
  <c r="E1663" i="20"/>
  <c r="E1662" i="20"/>
  <c r="E1661" i="20"/>
  <c r="E1660" i="20"/>
  <c r="E1659" i="20"/>
  <c r="E1658" i="20"/>
  <c r="E1657" i="20"/>
  <c r="E1656" i="20"/>
  <c r="E1655" i="20"/>
  <c r="E1654" i="20"/>
  <c r="E1653" i="20"/>
  <c r="E1652" i="20"/>
  <c r="E1651" i="20"/>
  <c r="E1650" i="20"/>
  <c r="E1649" i="20"/>
  <c r="E1648" i="20"/>
  <c r="E1647" i="20"/>
  <c r="E1646" i="20"/>
  <c r="E1645" i="20"/>
  <c r="E1644" i="20"/>
  <c r="E1643" i="20"/>
  <c r="E1642" i="20"/>
  <c r="E1641" i="20"/>
  <c r="E1640" i="20"/>
  <c r="E1639" i="20"/>
  <c r="E1638" i="20"/>
  <c r="E1637" i="20"/>
  <c r="E1636" i="20"/>
  <c r="E1635" i="20"/>
  <c r="E1634" i="20"/>
  <c r="E1633" i="20"/>
  <c r="E1632" i="20"/>
  <c r="E1631" i="20"/>
  <c r="E1630" i="20"/>
  <c r="E1629" i="20"/>
  <c r="E1628" i="20"/>
  <c r="E1627" i="20"/>
  <c r="E1626" i="20"/>
  <c r="E1625" i="20"/>
  <c r="E1624" i="20"/>
  <c r="E1623" i="20"/>
  <c r="E1622" i="20"/>
  <c r="E1621" i="20"/>
  <c r="E1620" i="20"/>
  <c r="E1619" i="20"/>
  <c r="E1618" i="20"/>
  <c r="E1617" i="20"/>
  <c r="E1616" i="20"/>
  <c r="E1615" i="20"/>
  <c r="E1614" i="20"/>
  <c r="E1613" i="20"/>
  <c r="E1612" i="20"/>
  <c r="E1611" i="20"/>
  <c r="E1610" i="20"/>
  <c r="E1609" i="20"/>
  <c r="E1608" i="20"/>
  <c r="E1607" i="20"/>
  <c r="E1606" i="20"/>
  <c r="E1605" i="20"/>
  <c r="E1604" i="20"/>
  <c r="E1603" i="20"/>
  <c r="E1602" i="20"/>
  <c r="E1601" i="20"/>
  <c r="E1600" i="20"/>
  <c r="E1599" i="20"/>
  <c r="E1598" i="20"/>
  <c r="E1597" i="20"/>
  <c r="E1596" i="20"/>
  <c r="E1595" i="20"/>
  <c r="E1594" i="20"/>
  <c r="E1593" i="20"/>
  <c r="E1592" i="20"/>
  <c r="E1591" i="20"/>
  <c r="E1590" i="20"/>
  <c r="E1589" i="20"/>
  <c r="E1588" i="20"/>
  <c r="E1587" i="20"/>
  <c r="E1586" i="20"/>
  <c r="E1585" i="20"/>
  <c r="E1584" i="20"/>
  <c r="E1583" i="20"/>
  <c r="E1582" i="20"/>
  <c r="E1581" i="20"/>
  <c r="E1580" i="20"/>
  <c r="E1579" i="20"/>
  <c r="E1578" i="20"/>
  <c r="E1577" i="20"/>
  <c r="E1576" i="20"/>
  <c r="E1575" i="20"/>
  <c r="E1574" i="20"/>
  <c r="E1573" i="20"/>
  <c r="E1572" i="20"/>
  <c r="E1571" i="20"/>
  <c r="E1570" i="20"/>
  <c r="E1569" i="20"/>
  <c r="E1568" i="20"/>
  <c r="E1567" i="20"/>
  <c r="E1566" i="20"/>
  <c r="E1565" i="20"/>
  <c r="E1564" i="20"/>
  <c r="E1563" i="20"/>
  <c r="E1562" i="20"/>
  <c r="E1561" i="20"/>
  <c r="E1560" i="20"/>
  <c r="E1559" i="20"/>
  <c r="E1558" i="20"/>
  <c r="E1557" i="20"/>
  <c r="E1556" i="20"/>
  <c r="E1555" i="20"/>
  <c r="E1554" i="20"/>
  <c r="E1553" i="20"/>
  <c r="E1552" i="20"/>
  <c r="E1551" i="20"/>
  <c r="E1550" i="20"/>
  <c r="E1549" i="20"/>
  <c r="E1548" i="20"/>
  <c r="E1547" i="20"/>
  <c r="E1546" i="20"/>
  <c r="E1545" i="20"/>
  <c r="E1544" i="20"/>
  <c r="E1543" i="20"/>
  <c r="E1542" i="20"/>
  <c r="E1541" i="20"/>
  <c r="E1540" i="20"/>
  <c r="E1539" i="20"/>
  <c r="E1538" i="20"/>
  <c r="E1537" i="20"/>
  <c r="E1536" i="20"/>
  <c r="E1535" i="20"/>
  <c r="E1534" i="20"/>
  <c r="E1533" i="20"/>
  <c r="E1532" i="20"/>
  <c r="E1531" i="20"/>
  <c r="E1530" i="20"/>
  <c r="E1529" i="20"/>
  <c r="E1528" i="20"/>
  <c r="E1527" i="20"/>
  <c r="E1526" i="20"/>
  <c r="E1525" i="20"/>
  <c r="E1524" i="20"/>
  <c r="E1523" i="20"/>
  <c r="E1522" i="20"/>
  <c r="E1521" i="20"/>
  <c r="E1520" i="20"/>
  <c r="E1519" i="20"/>
  <c r="E1518" i="20"/>
  <c r="E1517" i="20"/>
  <c r="E1516" i="20"/>
  <c r="E1515" i="20"/>
  <c r="E1514" i="20"/>
  <c r="E1513" i="20"/>
  <c r="E1512" i="20"/>
  <c r="E1511" i="20"/>
  <c r="E1510" i="20"/>
  <c r="E1509" i="20"/>
  <c r="E1508" i="20"/>
  <c r="E1507" i="20"/>
  <c r="E1506" i="20"/>
  <c r="E1505" i="20"/>
  <c r="E1504" i="20"/>
  <c r="E1503" i="20"/>
  <c r="E1502" i="20"/>
  <c r="E1501" i="20"/>
  <c r="E1500" i="20"/>
  <c r="E1499" i="20"/>
  <c r="E1498" i="20"/>
  <c r="E1497" i="20"/>
  <c r="E1496" i="20"/>
  <c r="E1495" i="20"/>
  <c r="E1494" i="20"/>
  <c r="E1493" i="20"/>
  <c r="E1492" i="20"/>
  <c r="E1491" i="20"/>
  <c r="E1490" i="20"/>
  <c r="E1489" i="20"/>
  <c r="E1488" i="20"/>
  <c r="E1487" i="20"/>
  <c r="E1486" i="20"/>
  <c r="E1485" i="20"/>
  <c r="E1484" i="20"/>
  <c r="E1483" i="20"/>
  <c r="E1482" i="20"/>
  <c r="E1481" i="20"/>
  <c r="E1480" i="20"/>
  <c r="E1479" i="20"/>
  <c r="E1478" i="20"/>
  <c r="E1477" i="20"/>
  <c r="E1476" i="20"/>
  <c r="E1475" i="20"/>
  <c r="E1474" i="20"/>
  <c r="E1473" i="20"/>
  <c r="E1472" i="20"/>
  <c r="E1471" i="20"/>
  <c r="E1470" i="20"/>
  <c r="E1469" i="20"/>
  <c r="E1468" i="20"/>
  <c r="E1467" i="20"/>
  <c r="E1466" i="20"/>
  <c r="E1465" i="20"/>
  <c r="E1464" i="20"/>
  <c r="E1463" i="20"/>
  <c r="E1462" i="20"/>
  <c r="E1461" i="20"/>
  <c r="E1460" i="20"/>
  <c r="E1459" i="20"/>
  <c r="E1458" i="20"/>
  <c r="E1457" i="20"/>
  <c r="E1456" i="20"/>
  <c r="E1455" i="20"/>
  <c r="E1454" i="20"/>
  <c r="E1453" i="20"/>
  <c r="E1452" i="20"/>
  <c r="E1451" i="20"/>
  <c r="E1450" i="20"/>
  <c r="E1449" i="20"/>
  <c r="E1448" i="20"/>
  <c r="E1447" i="20"/>
  <c r="E1446" i="20"/>
  <c r="E1445" i="20"/>
  <c r="E1444" i="20"/>
  <c r="E1443" i="20"/>
  <c r="E1442" i="20"/>
  <c r="E1441" i="20"/>
  <c r="E1440" i="20"/>
  <c r="E1439" i="20"/>
  <c r="E1438" i="20"/>
  <c r="E1437" i="20"/>
  <c r="E1436" i="20"/>
  <c r="E1435" i="20"/>
  <c r="E1434" i="20"/>
  <c r="E1433" i="20"/>
  <c r="E1432" i="20"/>
  <c r="E1431" i="20"/>
  <c r="E1430" i="20"/>
  <c r="E1429" i="20"/>
  <c r="E1428" i="20"/>
  <c r="E1427" i="20"/>
  <c r="E1426" i="20"/>
  <c r="E1425" i="20"/>
  <c r="E1424" i="20"/>
  <c r="E1423" i="20"/>
  <c r="E1422" i="20"/>
  <c r="E1421" i="20"/>
  <c r="E1420" i="20"/>
  <c r="E1419" i="20"/>
  <c r="E1418" i="20"/>
  <c r="E1417" i="20"/>
  <c r="E1416" i="20"/>
  <c r="E1415" i="20"/>
  <c r="E1414" i="20"/>
  <c r="E1413" i="20"/>
  <c r="E1412" i="20"/>
  <c r="E1411" i="20"/>
  <c r="E1410" i="20"/>
  <c r="E1409" i="20"/>
  <c r="E1408" i="20"/>
  <c r="E1407" i="20"/>
  <c r="E1406" i="20"/>
  <c r="E1405" i="20"/>
  <c r="E1404" i="20"/>
  <c r="E1403" i="20"/>
  <c r="E1402" i="20"/>
  <c r="E1401" i="20"/>
  <c r="E1400" i="20"/>
  <c r="E1399" i="20"/>
  <c r="E1398" i="20"/>
  <c r="E1397" i="20"/>
  <c r="E1396" i="20"/>
  <c r="E1395" i="20"/>
  <c r="E1394" i="20"/>
  <c r="E1393" i="20"/>
  <c r="E1392" i="20"/>
  <c r="E1391" i="20"/>
  <c r="E1390" i="20"/>
  <c r="E1389" i="20"/>
  <c r="E1388" i="20"/>
  <c r="E1387" i="20"/>
  <c r="E1386" i="20"/>
  <c r="E1385" i="20"/>
  <c r="E1384" i="20"/>
  <c r="E1383" i="20"/>
  <c r="E1382" i="20"/>
  <c r="E1381" i="20"/>
  <c r="E1380" i="20"/>
  <c r="E1379" i="20"/>
  <c r="E1378" i="20"/>
  <c r="E1377" i="20"/>
  <c r="E1376" i="20"/>
  <c r="E1375" i="20"/>
  <c r="E1374" i="20"/>
  <c r="E1373" i="20"/>
  <c r="E1372" i="20"/>
  <c r="E1371" i="20"/>
  <c r="E1370" i="20"/>
  <c r="E1369" i="20"/>
  <c r="E1368" i="20"/>
  <c r="E1367" i="20"/>
  <c r="E1366" i="20"/>
  <c r="E1365" i="20"/>
  <c r="E1364" i="20"/>
  <c r="E1363" i="20"/>
  <c r="E1362" i="20"/>
  <c r="E1361" i="20"/>
  <c r="E1360" i="20"/>
  <c r="E1359" i="20"/>
  <c r="E1358" i="20"/>
  <c r="E1357" i="20"/>
  <c r="E1356" i="20"/>
  <c r="E1355" i="20"/>
  <c r="E1354" i="20"/>
  <c r="E1353" i="20"/>
  <c r="E1352" i="20"/>
  <c r="E1351" i="20"/>
  <c r="E1350" i="20"/>
  <c r="E1349" i="20"/>
  <c r="E1348" i="20"/>
  <c r="E1347" i="20"/>
  <c r="E1346" i="20"/>
  <c r="E1345" i="20"/>
  <c r="E1344" i="20"/>
  <c r="E1343" i="20"/>
  <c r="E1342" i="20"/>
  <c r="E1341" i="20"/>
  <c r="E1340" i="20"/>
  <c r="E1339" i="20"/>
  <c r="E1338" i="20"/>
  <c r="E1337" i="20"/>
  <c r="E1336" i="20"/>
  <c r="E1335" i="20"/>
  <c r="E1334" i="20"/>
  <c r="E1333" i="20"/>
  <c r="E1332" i="20"/>
  <c r="E1331" i="20"/>
  <c r="E1330" i="20"/>
  <c r="E1329" i="20"/>
  <c r="E1328" i="20"/>
  <c r="E1327" i="20"/>
  <c r="E1326" i="20"/>
  <c r="E1325" i="20"/>
  <c r="E1324" i="20"/>
  <c r="E1323" i="20"/>
  <c r="E1322" i="20"/>
  <c r="E1321" i="20"/>
  <c r="E1320" i="20"/>
  <c r="E1319" i="20"/>
  <c r="E1318" i="20"/>
  <c r="E1317" i="20"/>
  <c r="E1316" i="20"/>
  <c r="E1315" i="20"/>
  <c r="E1314" i="20"/>
  <c r="E1313" i="20"/>
  <c r="E1312" i="20"/>
  <c r="E1311" i="20"/>
  <c r="E1310" i="20"/>
  <c r="E1309" i="20"/>
  <c r="E1308" i="20"/>
  <c r="E1307" i="20"/>
  <c r="E1306" i="20"/>
  <c r="E1305" i="20"/>
  <c r="E1304" i="20"/>
  <c r="E1303" i="20"/>
  <c r="E1302" i="20"/>
  <c r="E1301" i="20"/>
  <c r="E1300" i="20"/>
  <c r="E1299" i="20"/>
  <c r="E1298" i="20"/>
  <c r="E1297" i="20"/>
  <c r="E1296" i="20"/>
  <c r="E1295" i="20"/>
  <c r="E1294" i="20"/>
  <c r="E1293" i="20"/>
  <c r="E1292" i="20"/>
  <c r="E1291" i="20"/>
  <c r="E1290" i="20"/>
  <c r="E1289" i="20"/>
  <c r="E1288" i="20"/>
  <c r="E1287" i="20"/>
  <c r="E1286" i="20"/>
  <c r="E1285" i="20"/>
  <c r="E1284" i="20"/>
  <c r="E1283" i="20"/>
  <c r="E1282" i="20"/>
  <c r="E1281" i="20"/>
  <c r="E1280" i="20"/>
  <c r="E1279" i="20"/>
  <c r="E1278" i="20"/>
  <c r="E1277" i="20"/>
  <c r="E1276" i="20"/>
  <c r="E1275" i="20"/>
  <c r="E1274" i="20"/>
  <c r="E1273" i="20"/>
  <c r="E1272" i="20"/>
  <c r="E1271" i="20"/>
  <c r="E1270" i="20"/>
  <c r="E1269" i="20"/>
  <c r="E1268" i="20"/>
  <c r="E1267" i="20"/>
  <c r="E1266" i="20"/>
  <c r="E1265" i="20"/>
  <c r="E1264" i="20"/>
  <c r="E1263" i="20"/>
  <c r="E1262" i="20"/>
  <c r="E1261" i="20"/>
  <c r="E1260" i="20"/>
  <c r="E1259" i="20"/>
  <c r="E1258" i="20"/>
  <c r="E1257" i="20"/>
  <c r="E1256" i="20"/>
  <c r="E1255" i="20"/>
  <c r="E1254" i="20"/>
  <c r="E1253" i="20"/>
  <c r="E1252" i="20"/>
  <c r="E1251" i="20"/>
  <c r="E1250" i="20"/>
  <c r="E1249" i="20"/>
  <c r="E1248" i="20"/>
  <c r="E1247" i="20"/>
  <c r="E1246" i="20"/>
  <c r="E1245" i="20"/>
  <c r="E1244" i="20"/>
  <c r="E1243" i="20"/>
  <c r="E1242" i="20"/>
  <c r="E1241" i="20"/>
  <c r="E1240" i="20"/>
  <c r="E1239" i="20"/>
  <c r="E1238" i="20"/>
  <c r="E1237" i="20"/>
  <c r="E1236" i="20"/>
  <c r="E1235" i="20"/>
  <c r="E1234" i="20"/>
  <c r="E1233" i="20"/>
  <c r="E1232" i="20"/>
  <c r="E1231" i="20"/>
  <c r="E1230" i="20"/>
  <c r="E1229" i="20"/>
  <c r="E1228" i="20"/>
  <c r="E1227" i="20"/>
  <c r="E1226" i="20"/>
  <c r="E1225" i="20"/>
  <c r="E1224" i="20"/>
  <c r="E1223" i="20"/>
  <c r="E1222" i="20"/>
  <c r="E1221" i="20"/>
  <c r="E1220" i="20"/>
  <c r="E1219" i="20"/>
  <c r="E1218" i="20"/>
  <c r="E1217" i="20"/>
  <c r="E1216" i="20"/>
  <c r="E1215" i="20"/>
  <c r="E1214" i="20"/>
  <c r="E1213" i="20"/>
  <c r="E1212" i="20"/>
  <c r="E1211" i="20"/>
  <c r="E1210" i="20"/>
  <c r="E1209" i="20"/>
  <c r="E1208" i="20"/>
  <c r="E1207" i="20"/>
  <c r="E1206" i="20"/>
  <c r="E1205" i="20"/>
  <c r="E1204" i="20"/>
  <c r="E1203" i="20"/>
  <c r="E1202" i="20"/>
  <c r="E1201" i="20"/>
  <c r="E1200" i="20"/>
  <c r="E1199" i="20"/>
  <c r="E1198" i="20"/>
  <c r="E1197" i="20"/>
  <c r="E1196" i="20"/>
  <c r="E1195" i="20"/>
  <c r="E1194" i="20"/>
  <c r="E1193" i="20"/>
  <c r="E1192" i="20"/>
  <c r="E1191" i="20"/>
  <c r="E1190" i="20"/>
  <c r="E1189" i="20"/>
  <c r="E1188" i="20"/>
  <c r="E1187" i="20"/>
  <c r="E1186" i="20"/>
  <c r="E1185" i="20"/>
  <c r="E1184" i="20"/>
  <c r="E1183" i="20"/>
  <c r="E1182" i="20"/>
  <c r="E1181" i="20"/>
  <c r="E1180" i="20"/>
  <c r="E1179" i="20"/>
  <c r="E1178" i="20"/>
  <c r="E1177" i="20"/>
  <c r="E1176" i="20"/>
  <c r="E1175" i="20"/>
  <c r="E1174" i="20"/>
  <c r="E1173" i="20"/>
  <c r="E1172" i="20"/>
  <c r="E1171" i="20"/>
  <c r="E1170" i="20"/>
  <c r="E1169" i="20"/>
  <c r="E1168" i="20"/>
  <c r="E1167" i="20"/>
  <c r="E1166" i="20"/>
  <c r="E1165" i="20"/>
  <c r="E1164" i="20"/>
  <c r="E1163" i="20"/>
  <c r="E1162" i="20"/>
  <c r="E1161" i="20"/>
  <c r="E1160" i="20"/>
  <c r="E1159" i="20"/>
  <c r="E1158" i="20"/>
  <c r="E1157" i="20"/>
  <c r="E1156" i="20"/>
  <c r="E1155" i="20"/>
  <c r="E1154" i="20"/>
  <c r="E1153" i="20"/>
  <c r="E1152" i="20"/>
  <c r="E1151" i="20"/>
  <c r="E1150" i="20"/>
  <c r="E1149" i="20"/>
  <c r="E1148" i="20"/>
  <c r="E1147" i="20"/>
  <c r="E1146" i="20"/>
  <c r="E1145" i="20"/>
  <c r="E1144" i="20"/>
  <c r="E1143" i="20"/>
  <c r="E1142" i="20"/>
  <c r="E1141" i="20"/>
  <c r="E1140" i="20"/>
  <c r="E1139" i="20"/>
  <c r="E1138" i="20"/>
  <c r="E1137" i="20"/>
  <c r="E1136" i="20"/>
  <c r="E1135" i="20"/>
  <c r="E1134" i="20"/>
  <c r="E1133" i="20"/>
  <c r="E1132" i="20"/>
  <c r="E1131" i="20"/>
  <c r="E1130" i="20"/>
  <c r="E1129" i="20"/>
  <c r="E1128" i="20"/>
  <c r="E1127" i="20"/>
  <c r="E1126" i="20"/>
  <c r="E1125" i="20"/>
  <c r="E1124" i="20"/>
  <c r="E1123" i="20"/>
  <c r="E1122" i="20"/>
  <c r="E1121" i="20"/>
  <c r="E1120" i="20"/>
  <c r="E1119" i="20"/>
  <c r="E1118" i="20"/>
  <c r="E1117" i="20"/>
  <c r="E1116" i="20"/>
  <c r="E1115" i="20"/>
  <c r="E1114" i="20"/>
  <c r="E1113" i="20"/>
  <c r="E1112" i="20"/>
  <c r="E1111" i="20"/>
  <c r="E1110" i="20"/>
  <c r="E1109" i="20"/>
  <c r="E1108" i="20"/>
  <c r="E1107" i="20"/>
  <c r="E1106" i="20"/>
  <c r="E1105" i="20"/>
  <c r="E1104" i="20"/>
  <c r="E1103" i="20"/>
  <c r="E1102" i="20"/>
  <c r="E1101" i="20"/>
  <c r="E1100" i="20"/>
  <c r="E1099" i="20"/>
  <c r="E1098" i="20"/>
  <c r="E1097" i="20"/>
  <c r="E1096" i="20"/>
  <c r="E1095" i="20"/>
  <c r="E1094" i="20"/>
  <c r="E1093" i="20"/>
  <c r="E1092" i="20"/>
  <c r="E1091" i="20"/>
  <c r="E1090" i="20"/>
  <c r="E1089" i="20"/>
  <c r="E1088" i="20"/>
  <c r="E1087" i="20"/>
  <c r="E1086" i="20"/>
  <c r="E1085" i="20"/>
  <c r="E1084" i="20"/>
  <c r="E1083" i="20"/>
  <c r="E1082" i="20"/>
  <c r="E1081" i="20"/>
  <c r="E1080" i="20"/>
  <c r="E1079" i="20"/>
  <c r="E1078" i="20"/>
  <c r="E1077" i="20"/>
  <c r="E1076" i="20"/>
  <c r="E1075" i="20"/>
  <c r="E1074" i="20"/>
  <c r="E1073" i="20"/>
  <c r="E1072" i="20"/>
  <c r="E1071" i="20"/>
  <c r="E1070" i="20"/>
  <c r="E1069" i="20"/>
  <c r="E1068" i="20"/>
  <c r="E1067" i="20"/>
  <c r="E1066" i="20"/>
  <c r="E1065" i="20"/>
  <c r="E1064" i="20"/>
  <c r="E1063" i="20"/>
  <c r="E1062" i="20"/>
  <c r="E1061" i="20"/>
  <c r="E1060" i="20"/>
  <c r="E1059" i="20"/>
  <c r="E1058" i="20"/>
  <c r="E1057" i="20"/>
  <c r="E1056" i="20"/>
  <c r="E1055" i="20"/>
  <c r="E1054" i="20"/>
  <c r="E1053" i="20"/>
  <c r="E1052" i="20"/>
  <c r="E1051" i="20"/>
  <c r="E1050" i="20"/>
  <c r="E1049" i="20"/>
  <c r="E1048" i="20"/>
  <c r="E1047" i="20"/>
  <c r="E1046" i="20"/>
  <c r="E1045" i="20"/>
  <c r="E1044" i="20"/>
  <c r="E1043" i="20"/>
  <c r="E1042" i="20"/>
  <c r="E1041" i="20"/>
  <c r="E1040" i="20"/>
  <c r="E1039" i="20"/>
  <c r="E1038" i="20"/>
  <c r="E1037" i="20"/>
  <c r="E1036" i="20"/>
  <c r="E1035" i="20"/>
  <c r="E1034" i="20"/>
  <c r="E1033" i="20"/>
  <c r="E1032" i="20"/>
  <c r="E1031" i="20"/>
  <c r="E1030" i="20"/>
  <c r="E1029" i="20"/>
  <c r="E1028" i="20"/>
  <c r="E1027" i="20"/>
  <c r="E1026" i="20"/>
  <c r="E1025" i="20"/>
  <c r="E1024" i="20"/>
  <c r="E1023" i="20"/>
  <c r="E1022" i="20"/>
  <c r="E1021" i="20"/>
  <c r="E1020" i="20"/>
  <c r="E1019" i="20"/>
  <c r="E1018" i="20"/>
  <c r="E1017" i="20"/>
  <c r="E1016" i="20"/>
  <c r="E1015" i="20"/>
  <c r="E1014" i="20"/>
  <c r="E1013" i="20"/>
  <c r="E1012" i="20"/>
  <c r="E1011" i="20"/>
  <c r="E1010" i="20"/>
  <c r="E1009" i="20"/>
  <c r="E1008" i="20"/>
  <c r="E1007" i="20"/>
  <c r="E1006" i="20"/>
  <c r="E1005" i="20"/>
  <c r="E1004" i="20"/>
  <c r="E1003" i="20"/>
  <c r="E1002" i="20"/>
  <c r="E1001" i="20"/>
  <c r="E1000" i="20"/>
  <c r="E999" i="20"/>
  <c r="E998" i="20"/>
  <c r="E997" i="20"/>
  <c r="E996" i="20"/>
  <c r="E995" i="20"/>
  <c r="E994" i="20"/>
  <c r="E993" i="20"/>
  <c r="E992" i="20"/>
  <c r="E991" i="20"/>
  <c r="E990" i="20"/>
  <c r="E989" i="20"/>
  <c r="E988" i="20"/>
  <c r="E987" i="20"/>
  <c r="E986" i="20"/>
  <c r="E985" i="20"/>
  <c r="E984" i="20"/>
  <c r="E983" i="20"/>
  <c r="E982" i="20"/>
  <c r="E981" i="20"/>
  <c r="E980" i="20"/>
  <c r="E979" i="20"/>
  <c r="E978" i="20"/>
  <c r="E977" i="20"/>
  <c r="E976" i="20"/>
  <c r="E975" i="20"/>
  <c r="E974" i="20"/>
  <c r="E973" i="20"/>
  <c r="E972" i="20"/>
  <c r="E971" i="20"/>
  <c r="E970" i="20"/>
  <c r="E969" i="20"/>
  <c r="E968" i="20"/>
  <c r="E967" i="20"/>
  <c r="E966" i="20"/>
  <c r="E965" i="20"/>
  <c r="E964" i="20"/>
  <c r="E963" i="20"/>
  <c r="E962" i="20"/>
  <c r="E961" i="20"/>
  <c r="E960" i="20"/>
  <c r="E959" i="20"/>
  <c r="E958" i="20"/>
  <c r="E957" i="20"/>
  <c r="E956" i="20"/>
  <c r="E955" i="20"/>
  <c r="E954" i="20"/>
  <c r="E953" i="20"/>
  <c r="E952" i="20"/>
  <c r="E951" i="20"/>
  <c r="E950" i="20"/>
  <c r="E949" i="20"/>
  <c r="E948" i="20"/>
  <c r="E947" i="20"/>
  <c r="E946" i="20"/>
  <c r="E945" i="20"/>
  <c r="E944" i="20"/>
  <c r="E943" i="20"/>
  <c r="E942" i="20"/>
  <c r="E941" i="20"/>
  <c r="E940" i="20"/>
  <c r="E939" i="20"/>
  <c r="E938" i="20"/>
  <c r="E937" i="20"/>
  <c r="E936" i="20"/>
  <c r="E935" i="20"/>
  <c r="E934" i="20"/>
  <c r="E933" i="20"/>
  <c r="E932" i="20"/>
  <c r="E931" i="20"/>
  <c r="E930" i="20"/>
  <c r="E929" i="20"/>
  <c r="E928" i="20"/>
  <c r="E927" i="20"/>
  <c r="E926" i="20"/>
  <c r="E925" i="20"/>
  <c r="E924" i="20"/>
  <c r="E923" i="20"/>
  <c r="E922" i="20"/>
  <c r="E921" i="20"/>
  <c r="E920" i="20"/>
  <c r="E919" i="20"/>
  <c r="E918" i="20"/>
  <c r="E917" i="20"/>
  <c r="E916" i="20"/>
  <c r="E915" i="20"/>
  <c r="E914" i="20"/>
  <c r="E913" i="20"/>
  <c r="E912" i="20"/>
  <c r="E911" i="20"/>
  <c r="E910" i="20"/>
  <c r="E909" i="20"/>
  <c r="E908" i="20"/>
  <c r="E907" i="20"/>
  <c r="E906" i="20"/>
  <c r="E905" i="20"/>
  <c r="E904" i="20"/>
  <c r="E903" i="20"/>
  <c r="E902" i="20"/>
  <c r="E901" i="20"/>
  <c r="E900" i="20"/>
  <c r="E899" i="20"/>
  <c r="E898" i="20"/>
  <c r="E897" i="20"/>
  <c r="E896" i="20"/>
  <c r="E895" i="20"/>
  <c r="E894" i="20"/>
  <c r="E893" i="20"/>
  <c r="E892" i="20"/>
  <c r="E891" i="20"/>
  <c r="E890" i="20"/>
  <c r="E889" i="20"/>
  <c r="E888" i="20"/>
  <c r="E887" i="20"/>
  <c r="E886" i="20"/>
  <c r="E885" i="20"/>
  <c r="E884" i="20"/>
  <c r="E883" i="20"/>
  <c r="E882" i="20"/>
  <c r="E881" i="20"/>
  <c r="E880" i="20"/>
  <c r="E879" i="20"/>
  <c r="E878" i="20"/>
  <c r="E877" i="20"/>
  <c r="E876" i="20"/>
  <c r="E875" i="20"/>
  <c r="E874" i="20"/>
  <c r="E873" i="20"/>
  <c r="E872" i="20"/>
  <c r="E871" i="20"/>
  <c r="E870" i="20"/>
  <c r="E869" i="20"/>
  <c r="E868" i="20"/>
  <c r="E867" i="20"/>
  <c r="E866" i="20"/>
  <c r="E865" i="20"/>
  <c r="E864" i="20"/>
  <c r="E863" i="20"/>
  <c r="E862" i="20"/>
  <c r="E861" i="20"/>
  <c r="E860" i="20"/>
  <c r="E859" i="20"/>
  <c r="E858" i="20"/>
  <c r="E857" i="20"/>
  <c r="E856" i="20"/>
  <c r="E855" i="20"/>
  <c r="E854" i="20"/>
  <c r="E853" i="20"/>
  <c r="E852" i="20"/>
  <c r="E851" i="20"/>
  <c r="E850" i="20"/>
  <c r="E849" i="20"/>
  <c r="E848" i="20"/>
  <c r="E847" i="20"/>
  <c r="E846" i="20"/>
  <c r="E845" i="20"/>
  <c r="E844" i="20"/>
  <c r="E843" i="20"/>
  <c r="E842" i="20"/>
  <c r="E841" i="20"/>
  <c r="E840" i="20"/>
  <c r="E839" i="20"/>
  <c r="E838" i="20"/>
  <c r="E837" i="20"/>
  <c r="E836" i="20"/>
  <c r="E835" i="20"/>
  <c r="E834" i="20"/>
  <c r="E833" i="20"/>
  <c r="E832" i="20"/>
  <c r="E831" i="20"/>
  <c r="E830" i="20"/>
  <c r="E829" i="20"/>
  <c r="E828" i="20"/>
  <c r="E827" i="20"/>
  <c r="E826" i="20"/>
  <c r="E825" i="20"/>
  <c r="E824" i="20"/>
  <c r="E823" i="20"/>
  <c r="E822" i="20"/>
  <c r="E821" i="20"/>
  <c r="E820" i="20"/>
  <c r="E819" i="20"/>
  <c r="E818" i="20"/>
  <c r="E817" i="20"/>
  <c r="E816" i="20"/>
  <c r="E815" i="20"/>
  <c r="E814" i="20"/>
  <c r="E813" i="20"/>
  <c r="E812" i="20"/>
  <c r="E811" i="20"/>
  <c r="E810" i="20"/>
  <c r="E809" i="20"/>
  <c r="E808" i="20"/>
  <c r="E807" i="20"/>
  <c r="E806" i="20"/>
  <c r="E805" i="20"/>
  <c r="E804" i="20"/>
  <c r="E803" i="20"/>
  <c r="E802" i="20"/>
  <c r="E801" i="20"/>
  <c r="E800" i="20"/>
  <c r="E799" i="20"/>
  <c r="E798" i="20"/>
  <c r="E797" i="20"/>
  <c r="E796" i="20"/>
  <c r="E795" i="20"/>
  <c r="E794" i="20"/>
  <c r="E793" i="20"/>
  <c r="E792" i="20"/>
  <c r="E791" i="20"/>
  <c r="E790" i="20"/>
  <c r="E789" i="20"/>
  <c r="E788" i="20"/>
  <c r="E787" i="20"/>
  <c r="E786" i="20"/>
  <c r="E785" i="20"/>
  <c r="E784" i="20"/>
  <c r="E783" i="20"/>
  <c r="E782" i="20"/>
  <c r="E781" i="20"/>
  <c r="E780" i="20"/>
  <c r="E779" i="20"/>
  <c r="E778" i="20"/>
  <c r="E777" i="20"/>
  <c r="E776" i="20"/>
  <c r="E775" i="20"/>
  <c r="E774" i="20"/>
  <c r="E773" i="20"/>
  <c r="E772" i="20"/>
  <c r="E771" i="20"/>
  <c r="E770" i="20"/>
  <c r="E769" i="20"/>
  <c r="E768" i="20"/>
  <c r="E767" i="20"/>
  <c r="E766" i="20"/>
  <c r="E765" i="20"/>
  <c r="E764" i="20"/>
  <c r="E763" i="20"/>
  <c r="E762" i="20"/>
  <c r="E761" i="20"/>
  <c r="E760" i="20"/>
  <c r="E759" i="20"/>
  <c r="E758" i="20"/>
  <c r="E757" i="20"/>
  <c r="E756" i="20"/>
  <c r="E755" i="20"/>
  <c r="E754" i="20"/>
  <c r="E753" i="20"/>
  <c r="E752" i="20"/>
  <c r="E751" i="20"/>
  <c r="E750" i="20"/>
  <c r="E749" i="20"/>
  <c r="E748" i="20"/>
  <c r="E747" i="20"/>
  <c r="E746" i="20"/>
  <c r="E745" i="20"/>
  <c r="E744" i="20"/>
  <c r="E743" i="20"/>
  <c r="E742" i="20"/>
  <c r="E741" i="20"/>
  <c r="E740" i="20"/>
  <c r="E739" i="20"/>
  <c r="E738" i="20"/>
  <c r="E737" i="20"/>
  <c r="E736" i="20"/>
  <c r="E735" i="20"/>
  <c r="E734" i="20"/>
  <c r="E733" i="20"/>
  <c r="E732" i="20"/>
  <c r="E731" i="20"/>
  <c r="E730" i="20"/>
  <c r="E729" i="20"/>
  <c r="E728" i="20"/>
  <c r="E727" i="20"/>
  <c r="E726" i="20"/>
  <c r="E725" i="20"/>
  <c r="E724" i="20"/>
  <c r="E723" i="20"/>
  <c r="E722" i="20"/>
  <c r="E721" i="20"/>
  <c r="E720" i="20"/>
  <c r="E719" i="20"/>
  <c r="E718" i="20"/>
  <c r="E717" i="20"/>
  <c r="E716" i="20"/>
  <c r="E715" i="20"/>
  <c r="E714" i="20"/>
  <c r="E713" i="20"/>
  <c r="E712" i="20"/>
  <c r="E711" i="20"/>
  <c r="E710" i="20"/>
  <c r="E709" i="20"/>
  <c r="E708" i="20"/>
  <c r="E707" i="20"/>
  <c r="E706" i="20"/>
  <c r="E705" i="20"/>
  <c r="E704" i="20"/>
  <c r="E703" i="20"/>
  <c r="E702" i="20"/>
  <c r="E701" i="20"/>
  <c r="E700" i="20"/>
  <c r="E699" i="20"/>
  <c r="E698" i="20"/>
  <c r="E697" i="20"/>
  <c r="E696" i="20"/>
  <c r="E695" i="20"/>
  <c r="E694" i="20"/>
  <c r="E693" i="20"/>
  <c r="E692" i="20"/>
  <c r="E691" i="20"/>
  <c r="E690" i="20"/>
  <c r="E689" i="20"/>
  <c r="E688" i="20"/>
  <c r="E687" i="20"/>
  <c r="E686" i="20"/>
  <c r="E685" i="20"/>
  <c r="E684" i="20"/>
  <c r="E683" i="20"/>
  <c r="E682" i="20"/>
  <c r="E681" i="20"/>
  <c r="E680" i="20"/>
  <c r="E679" i="20"/>
  <c r="E678" i="20"/>
  <c r="E677" i="20"/>
  <c r="E676" i="20"/>
  <c r="E675" i="20"/>
  <c r="E674" i="20"/>
  <c r="E673" i="20"/>
  <c r="E672" i="20"/>
  <c r="E671" i="20"/>
  <c r="E670" i="20"/>
  <c r="E669" i="20"/>
  <c r="E668" i="20"/>
  <c r="E667" i="20"/>
  <c r="E666" i="20"/>
  <c r="E665" i="20"/>
  <c r="E664" i="20"/>
  <c r="E663" i="20"/>
  <c r="E662" i="20"/>
  <c r="E661" i="20"/>
  <c r="E660" i="20"/>
  <c r="E659" i="20"/>
  <c r="E658" i="20"/>
  <c r="E657" i="20"/>
  <c r="E656" i="20"/>
  <c r="E655" i="20"/>
  <c r="E654" i="20"/>
  <c r="E653" i="20"/>
  <c r="E652" i="20"/>
  <c r="E651" i="20"/>
  <c r="E650" i="20"/>
  <c r="E649" i="20"/>
  <c r="E648" i="20"/>
  <c r="E647" i="20"/>
  <c r="E646" i="20"/>
  <c r="E645" i="20"/>
  <c r="E644" i="20"/>
  <c r="E643" i="20"/>
  <c r="E642" i="20"/>
  <c r="E641" i="20"/>
  <c r="E640" i="20"/>
  <c r="E639" i="20"/>
  <c r="E638" i="20"/>
  <c r="E637" i="20"/>
  <c r="E636" i="20"/>
  <c r="E635" i="20"/>
  <c r="E634" i="20"/>
  <c r="E633" i="20"/>
  <c r="E632" i="20"/>
  <c r="E631" i="20"/>
  <c r="E630" i="20"/>
  <c r="E629" i="20"/>
  <c r="E628" i="20"/>
  <c r="E627" i="20"/>
  <c r="E626" i="20"/>
  <c r="E625" i="20"/>
  <c r="E624" i="20"/>
  <c r="E623" i="20"/>
  <c r="E622" i="20"/>
  <c r="E621" i="20"/>
  <c r="E620" i="20"/>
  <c r="E619" i="20"/>
  <c r="E618" i="20"/>
  <c r="E617" i="20"/>
  <c r="E616" i="20"/>
  <c r="E615" i="20"/>
  <c r="E614" i="20"/>
  <c r="E613" i="20"/>
  <c r="E612" i="20"/>
  <c r="E611" i="20"/>
  <c r="E610" i="20"/>
  <c r="E609" i="20"/>
  <c r="E608" i="20"/>
  <c r="E607" i="20"/>
  <c r="E606" i="20"/>
  <c r="E605" i="20"/>
  <c r="E604" i="20"/>
  <c r="E603" i="20"/>
  <c r="E602" i="20"/>
  <c r="E601" i="20"/>
  <c r="E600" i="20"/>
  <c r="E599" i="20"/>
  <c r="E598" i="20"/>
  <c r="E597" i="20"/>
  <c r="E596" i="20"/>
  <c r="E595" i="20"/>
  <c r="E594" i="20"/>
  <c r="E593" i="20"/>
  <c r="E592" i="20"/>
  <c r="E591" i="20"/>
  <c r="E590" i="20"/>
  <c r="E589" i="20"/>
  <c r="E588" i="20"/>
  <c r="E587" i="20"/>
  <c r="E586" i="20"/>
  <c r="E585" i="20"/>
  <c r="E584" i="20"/>
  <c r="E583" i="20"/>
  <c r="E582" i="20"/>
  <c r="E581" i="20"/>
  <c r="E580" i="20"/>
  <c r="E579" i="20"/>
  <c r="E578" i="20"/>
  <c r="E577" i="20"/>
  <c r="E576" i="20"/>
  <c r="E575" i="20"/>
  <c r="E574" i="20"/>
  <c r="E573" i="20"/>
  <c r="E572" i="20"/>
  <c r="E571" i="20"/>
  <c r="E570" i="20"/>
  <c r="E569" i="20"/>
  <c r="E568" i="20"/>
  <c r="E567" i="20"/>
  <c r="E566" i="20"/>
  <c r="E565" i="20"/>
  <c r="E564" i="20"/>
  <c r="E563" i="20"/>
  <c r="E562" i="20"/>
  <c r="E561" i="20"/>
  <c r="E560" i="20"/>
  <c r="E559" i="20"/>
  <c r="E558" i="20"/>
  <c r="E557" i="20"/>
  <c r="E556" i="20"/>
  <c r="E555" i="20"/>
  <c r="E554" i="20"/>
  <c r="E553" i="20"/>
  <c r="E552" i="20"/>
  <c r="E551" i="20"/>
  <c r="E550" i="20"/>
  <c r="E549" i="20"/>
  <c r="E548" i="20"/>
  <c r="E547" i="20"/>
  <c r="E546" i="20"/>
  <c r="E545" i="20"/>
  <c r="E544" i="20"/>
  <c r="E543" i="20"/>
  <c r="E542" i="20"/>
  <c r="E541" i="20"/>
  <c r="E540" i="20"/>
  <c r="E539" i="20"/>
  <c r="E538" i="20"/>
  <c r="E537" i="20"/>
  <c r="E536" i="20"/>
  <c r="E535" i="20"/>
  <c r="E534" i="20"/>
  <c r="E533" i="20"/>
  <c r="E532" i="20"/>
  <c r="E531" i="20"/>
  <c r="E530" i="20"/>
  <c r="E529" i="20"/>
  <c r="E528" i="20"/>
  <c r="E527" i="20"/>
  <c r="E526" i="20"/>
  <c r="E525" i="20"/>
  <c r="E524" i="20"/>
  <c r="E523" i="20"/>
  <c r="E522" i="20"/>
  <c r="E521" i="20"/>
  <c r="E520" i="20"/>
  <c r="E519" i="20"/>
  <c r="E518" i="20"/>
  <c r="E517" i="20"/>
  <c r="E516" i="20"/>
  <c r="E515" i="20"/>
  <c r="E514" i="20"/>
  <c r="E513" i="20"/>
  <c r="E512" i="20"/>
  <c r="E511" i="20"/>
  <c r="E510" i="20"/>
  <c r="E509" i="20"/>
  <c r="E508" i="20"/>
  <c r="E507" i="20"/>
  <c r="E506" i="20"/>
  <c r="E505" i="20"/>
  <c r="E504" i="20"/>
  <c r="E503" i="20"/>
  <c r="E502" i="20"/>
  <c r="E501" i="20"/>
  <c r="E500" i="20"/>
  <c r="E499" i="20"/>
  <c r="E498" i="20"/>
  <c r="E497" i="20"/>
  <c r="E496" i="20"/>
  <c r="E495" i="20"/>
  <c r="E494" i="20"/>
  <c r="E493" i="20"/>
  <c r="E492" i="20"/>
  <c r="E491" i="20"/>
  <c r="E490" i="20"/>
  <c r="E489" i="20"/>
  <c r="E488" i="20"/>
  <c r="E487" i="20"/>
  <c r="E486" i="20"/>
  <c r="E485" i="20"/>
  <c r="E484" i="20"/>
  <c r="E483" i="20"/>
  <c r="E482" i="20"/>
  <c r="E481" i="20"/>
  <c r="E480" i="20"/>
  <c r="E479" i="20"/>
  <c r="E478" i="20"/>
  <c r="E477" i="20"/>
  <c r="E476" i="20"/>
  <c r="E475" i="20"/>
  <c r="E474" i="20"/>
  <c r="E473" i="20"/>
  <c r="E472" i="20"/>
  <c r="E471" i="20"/>
  <c r="E470" i="20"/>
  <c r="E469" i="20"/>
  <c r="E468" i="20"/>
  <c r="E467" i="20"/>
  <c r="E466" i="20"/>
  <c r="E465" i="20"/>
  <c r="E464" i="20"/>
  <c r="E463" i="20"/>
  <c r="E462" i="20"/>
  <c r="E461" i="20"/>
  <c r="E460" i="20"/>
  <c r="E459" i="20"/>
  <c r="E458" i="20"/>
  <c r="E457" i="20"/>
  <c r="E456" i="20"/>
  <c r="E455" i="20"/>
  <c r="E454" i="20"/>
  <c r="E453" i="20"/>
  <c r="E452" i="20"/>
  <c r="E451" i="20"/>
  <c r="E450" i="20"/>
  <c r="E449" i="20"/>
  <c r="E448" i="20"/>
  <c r="E447" i="20"/>
  <c r="E446" i="20"/>
  <c r="E445" i="20"/>
  <c r="E444" i="20"/>
  <c r="E443" i="20"/>
  <c r="E442" i="20"/>
  <c r="E441" i="20"/>
  <c r="E440" i="20"/>
  <c r="E439" i="20"/>
  <c r="E438" i="20"/>
  <c r="E437" i="20"/>
  <c r="E436" i="20"/>
  <c r="E435" i="20"/>
  <c r="E434" i="20"/>
  <c r="E433" i="20"/>
  <c r="E432" i="20"/>
  <c r="E431" i="20"/>
  <c r="E430" i="20"/>
  <c r="E429" i="20"/>
  <c r="E428" i="20"/>
  <c r="E427" i="20"/>
  <c r="E426" i="20"/>
  <c r="E425" i="20"/>
  <c r="E424" i="20"/>
  <c r="E423" i="20"/>
  <c r="E422" i="20"/>
  <c r="E421" i="20"/>
  <c r="E420" i="20"/>
  <c r="E419" i="20"/>
  <c r="E418" i="20"/>
  <c r="E417" i="20"/>
  <c r="E416" i="20"/>
  <c r="E415" i="20"/>
  <c r="E414" i="20"/>
  <c r="E413" i="20"/>
  <c r="E412" i="20"/>
  <c r="E411" i="20"/>
  <c r="E410" i="20"/>
  <c r="E409" i="20"/>
  <c r="E408" i="20"/>
  <c r="E407" i="20"/>
  <c r="E406" i="20"/>
  <c r="E405" i="20"/>
  <c r="E404" i="20"/>
  <c r="E403" i="20"/>
  <c r="E402" i="20"/>
  <c r="E401" i="20"/>
  <c r="E400" i="20"/>
  <c r="E399" i="20"/>
  <c r="E398" i="20"/>
  <c r="E397" i="20"/>
  <c r="E396" i="20"/>
  <c r="E395" i="20"/>
  <c r="E394" i="20"/>
  <c r="E393" i="20"/>
  <c r="E392" i="20"/>
  <c r="E391" i="20"/>
  <c r="E390" i="20"/>
  <c r="E389" i="20"/>
  <c r="E388" i="20"/>
  <c r="E387" i="20"/>
  <c r="E386" i="20"/>
  <c r="E385" i="20"/>
  <c r="E384" i="20"/>
  <c r="E383" i="20"/>
  <c r="E382" i="20"/>
  <c r="E381" i="20"/>
  <c r="E380" i="20"/>
  <c r="E379" i="20"/>
  <c r="E378" i="20"/>
  <c r="E377" i="20"/>
  <c r="E376" i="20"/>
  <c r="E375" i="20"/>
  <c r="E374" i="20"/>
  <c r="E373" i="20"/>
  <c r="E372" i="20"/>
  <c r="E371" i="20"/>
  <c r="E370" i="20"/>
  <c r="E369" i="20"/>
  <c r="E368" i="20"/>
  <c r="E367" i="20"/>
  <c r="E366" i="20"/>
  <c r="E365" i="20"/>
  <c r="E364" i="20"/>
  <c r="E363" i="20"/>
  <c r="E362" i="20"/>
  <c r="E361" i="20"/>
  <c r="E360" i="20"/>
  <c r="E359" i="20"/>
  <c r="E358" i="20"/>
  <c r="E357" i="20"/>
  <c r="E356" i="20"/>
  <c r="E355" i="20"/>
  <c r="E354" i="20"/>
  <c r="E353" i="20"/>
  <c r="E352" i="20"/>
  <c r="E351" i="20"/>
  <c r="E350" i="20"/>
  <c r="E349" i="20"/>
  <c r="E348" i="20"/>
  <c r="E347" i="20"/>
  <c r="E346" i="20"/>
  <c r="E345" i="20"/>
  <c r="E344" i="20"/>
  <c r="E343" i="20"/>
  <c r="E342" i="20"/>
  <c r="E341" i="20"/>
  <c r="E340" i="20"/>
  <c r="E339" i="20"/>
  <c r="E338" i="20"/>
  <c r="E337" i="20"/>
  <c r="E336" i="20"/>
  <c r="E335" i="20"/>
  <c r="E334" i="20"/>
  <c r="E333" i="20"/>
  <c r="E332" i="20"/>
  <c r="E331" i="20"/>
  <c r="E330" i="20"/>
  <c r="E329" i="20"/>
  <c r="E328" i="20"/>
  <c r="E327" i="20"/>
  <c r="E326" i="20"/>
  <c r="E325" i="20"/>
  <c r="E324" i="20"/>
  <c r="E323" i="20"/>
  <c r="E322" i="20"/>
  <c r="E321" i="20"/>
  <c r="E320" i="20"/>
  <c r="E319" i="20"/>
  <c r="E318" i="20"/>
  <c r="E317" i="20"/>
  <c r="E316" i="20"/>
  <c r="E315" i="20"/>
  <c r="E314" i="20"/>
  <c r="E313" i="20"/>
  <c r="E312" i="20"/>
  <c r="E311" i="20"/>
  <c r="E310" i="20"/>
  <c r="E309" i="20"/>
  <c r="E308" i="20"/>
  <c r="E307" i="20"/>
  <c r="E306" i="20"/>
  <c r="E305" i="20"/>
  <c r="E304" i="20"/>
  <c r="E303" i="20"/>
  <c r="E302" i="20"/>
  <c r="E301" i="20"/>
  <c r="E300" i="20"/>
  <c r="E299" i="20"/>
  <c r="E298" i="20"/>
  <c r="E297" i="20"/>
  <c r="E296" i="20"/>
  <c r="E295" i="20"/>
  <c r="E294" i="20"/>
  <c r="E293" i="20"/>
  <c r="E292" i="20"/>
  <c r="E291" i="20"/>
  <c r="E290" i="20"/>
  <c r="E289" i="20"/>
  <c r="E288" i="20"/>
  <c r="E287" i="20"/>
  <c r="E286" i="20"/>
  <c r="E285" i="20"/>
  <c r="E284" i="20"/>
  <c r="E283" i="20"/>
  <c r="E282" i="20"/>
  <c r="E281" i="20"/>
  <c r="E280" i="20"/>
  <c r="E279" i="20"/>
  <c r="E278" i="20"/>
  <c r="E277" i="20"/>
  <c r="E276" i="20"/>
  <c r="E275" i="20"/>
  <c r="E274" i="20"/>
  <c r="E273" i="20"/>
  <c r="E272" i="20"/>
  <c r="E271" i="20"/>
  <c r="E270" i="20"/>
  <c r="E269" i="20"/>
  <c r="E268" i="20"/>
  <c r="E267" i="20"/>
  <c r="E266" i="20"/>
  <c r="E265" i="20"/>
  <c r="E264" i="20"/>
  <c r="E263" i="20"/>
  <c r="E262" i="20"/>
  <c r="E261" i="20"/>
  <c r="E260" i="20"/>
  <c r="E259" i="20"/>
  <c r="E258" i="20"/>
  <c r="E257" i="20"/>
  <c r="E256" i="20"/>
  <c r="E255" i="20"/>
  <c r="E254" i="20"/>
  <c r="E253" i="20"/>
  <c r="E252" i="20"/>
  <c r="E251" i="20"/>
  <c r="E250" i="20"/>
  <c r="E249" i="20"/>
  <c r="E248" i="20"/>
  <c r="E247" i="20"/>
  <c r="E246" i="20"/>
  <c r="E245" i="20"/>
  <c r="E244" i="20"/>
  <c r="E243" i="20"/>
  <c r="E242" i="20"/>
  <c r="E241" i="20"/>
  <c r="E240" i="20"/>
  <c r="E239" i="20"/>
  <c r="E238" i="20"/>
  <c r="E237" i="20"/>
  <c r="E236" i="20"/>
  <c r="E235" i="20"/>
  <c r="E234" i="20"/>
  <c r="E233" i="20"/>
  <c r="E232" i="20"/>
  <c r="E231" i="20"/>
  <c r="E230" i="20"/>
  <c r="E229" i="20"/>
  <c r="E228" i="20"/>
  <c r="E227" i="20"/>
  <c r="E226" i="20"/>
  <c r="E225" i="20"/>
  <c r="E224" i="20"/>
  <c r="E223" i="20"/>
  <c r="E222" i="20"/>
  <c r="E221" i="20"/>
  <c r="E220" i="20"/>
  <c r="E219" i="20"/>
  <c r="E218" i="20"/>
  <c r="E217" i="20"/>
  <c r="E216" i="20"/>
  <c r="E215" i="20"/>
  <c r="E214" i="20"/>
  <c r="E213" i="20"/>
  <c r="E212" i="20"/>
  <c r="E211" i="20"/>
  <c r="E210" i="20"/>
  <c r="E209" i="20"/>
  <c r="E208" i="20"/>
  <c r="E207" i="20"/>
  <c r="E206" i="20"/>
  <c r="E205" i="20"/>
  <c r="E204" i="20"/>
  <c r="E203" i="20"/>
  <c r="E202" i="20"/>
  <c r="E201" i="20"/>
  <c r="E200" i="20"/>
  <c r="E199" i="20"/>
  <c r="E198" i="20"/>
  <c r="E197" i="20"/>
  <c r="E196" i="20"/>
  <c r="E195" i="20"/>
  <c r="E194" i="20"/>
  <c r="E193" i="20"/>
  <c r="E192" i="20"/>
  <c r="E191" i="20"/>
  <c r="E190" i="20"/>
  <c r="E189" i="20"/>
  <c r="E188" i="20"/>
  <c r="E187" i="20"/>
  <c r="E186" i="20"/>
  <c r="E185" i="20"/>
  <c r="E184" i="20"/>
  <c r="E183" i="20"/>
  <c r="E182" i="20"/>
  <c r="E181" i="20"/>
  <c r="E180" i="20"/>
  <c r="E179" i="20"/>
  <c r="E178" i="20"/>
  <c r="E177" i="20"/>
  <c r="E176" i="20"/>
  <c r="E175" i="20"/>
  <c r="E174" i="20"/>
  <c r="E173" i="20"/>
  <c r="E172" i="20"/>
  <c r="E171" i="20"/>
  <c r="E170" i="20"/>
  <c r="E169" i="20"/>
  <c r="E168" i="20"/>
  <c r="E167" i="20"/>
  <c r="E166" i="20"/>
  <c r="E165" i="20"/>
  <c r="E164" i="20"/>
  <c r="E163" i="20"/>
  <c r="E162" i="20"/>
  <c r="E161" i="20"/>
  <c r="E160" i="20"/>
  <c r="E159" i="20"/>
  <c r="E158" i="20"/>
  <c r="E157" i="20"/>
  <c r="E156" i="20"/>
  <c r="E155" i="20"/>
  <c r="E154" i="20"/>
  <c r="E153" i="20"/>
  <c r="E152" i="20"/>
  <c r="E151" i="20"/>
  <c r="E150" i="20"/>
  <c r="E149" i="20"/>
  <c r="E148" i="20"/>
  <c r="E147" i="20"/>
  <c r="E146" i="20"/>
  <c r="E145" i="20"/>
  <c r="E144" i="20"/>
  <c r="E143" i="20"/>
  <c r="E142" i="20"/>
  <c r="E141" i="20"/>
  <c r="E140" i="20"/>
  <c r="E139" i="20"/>
  <c r="E138" i="20"/>
  <c r="E137" i="20"/>
  <c r="E136" i="20"/>
  <c r="E135" i="20"/>
  <c r="E134" i="20"/>
  <c r="E133" i="20"/>
  <c r="E132" i="20"/>
  <c r="E131" i="20"/>
  <c r="E130" i="20"/>
  <c r="E129" i="20"/>
  <c r="E128" i="20"/>
  <c r="E127" i="20"/>
  <c r="E126" i="20"/>
  <c r="E125" i="20"/>
  <c r="E124" i="20"/>
  <c r="E123" i="20"/>
  <c r="E122" i="20"/>
  <c r="E121" i="20"/>
  <c r="E120" i="20"/>
  <c r="E119" i="20"/>
  <c r="E118" i="20"/>
  <c r="E117" i="20"/>
  <c r="E116" i="20"/>
  <c r="E115" i="20"/>
  <c r="E114" i="20"/>
  <c r="E113" i="20"/>
  <c r="E112" i="20"/>
  <c r="E111" i="20"/>
  <c r="E110" i="20"/>
  <c r="E109" i="20"/>
  <c r="E108" i="20"/>
  <c r="E107" i="20"/>
  <c r="E106" i="20"/>
  <c r="E105" i="20"/>
  <c r="E104" i="20"/>
  <c r="E103" i="20"/>
  <c r="E102" i="20"/>
  <c r="E101" i="20"/>
  <c r="E100" i="20"/>
  <c r="E99" i="20"/>
  <c r="E98" i="20"/>
  <c r="E97" i="20"/>
  <c r="E96" i="20"/>
  <c r="E95" i="20"/>
  <c r="E94" i="20"/>
  <c r="E93" i="20"/>
  <c r="E92" i="20"/>
  <c r="E91" i="20"/>
  <c r="E90" i="20"/>
  <c r="E89" i="20"/>
  <c r="E88" i="20"/>
  <c r="E87" i="20"/>
  <c r="E86" i="20"/>
  <c r="E85" i="20"/>
  <c r="E84" i="20"/>
  <c r="E83" i="20"/>
  <c r="E82" i="20"/>
  <c r="E81" i="20"/>
  <c r="E80" i="20"/>
  <c r="E79" i="20"/>
  <c r="E78" i="20"/>
  <c r="E77" i="20"/>
  <c r="E76" i="20"/>
  <c r="E75" i="20"/>
  <c r="E74" i="20"/>
  <c r="E73" i="20"/>
  <c r="E72" i="20"/>
  <c r="E71" i="20"/>
  <c r="E70" i="20"/>
  <c r="E69" i="20"/>
  <c r="E68" i="20"/>
  <c r="E67" i="20"/>
  <c r="E66" i="20"/>
  <c r="E65" i="20"/>
  <c r="E64" i="20"/>
  <c r="E63" i="20"/>
  <c r="E62" i="20"/>
  <c r="E61" i="20"/>
  <c r="E60" i="20"/>
  <c r="E59" i="20"/>
  <c r="E58" i="20"/>
  <c r="E57" i="20"/>
  <c r="E56" i="20"/>
  <c r="E55" i="20"/>
  <c r="E54" i="20"/>
  <c r="E53" i="20"/>
  <c r="E52" i="20"/>
  <c r="E51" i="20"/>
  <c r="E50" i="20"/>
  <c r="E49" i="20"/>
  <c r="E48" i="20"/>
  <c r="E47" i="20"/>
  <c r="E44" i="20"/>
  <c r="E43" i="20"/>
  <c r="E42" i="20"/>
  <c r="E41" i="20"/>
  <c r="E40" i="20"/>
  <c r="E39" i="20"/>
  <c r="E38" i="20"/>
  <c r="E37" i="20"/>
  <c r="E36" i="20"/>
  <c r="E35" i="20"/>
  <c r="E33" i="20"/>
  <c r="E32" i="20"/>
  <c r="E31" i="20"/>
  <c r="E30" i="20"/>
  <c r="E29" i="20"/>
  <c r="E28" i="20"/>
  <c r="E27" i="20"/>
  <c r="E26" i="20"/>
  <c r="E25" i="20"/>
  <c r="E24" i="20"/>
  <c r="E23" i="20"/>
  <c r="E20" i="20"/>
  <c r="E19" i="20"/>
  <c r="E18" i="20"/>
  <c r="E17" i="20"/>
  <c r="E16" i="20"/>
  <c r="E15" i="20"/>
  <c r="E14" i="20"/>
  <c r="E10" i="20"/>
  <c r="E9" i="20"/>
  <c r="E8" i="20"/>
  <c r="E7" i="20"/>
  <c r="E6" i="20"/>
  <c r="E5" i="20"/>
  <c r="D2" i="17"/>
  <c r="D3" i="17"/>
  <c r="D7" i="17"/>
  <c r="D6" i="17"/>
  <c r="D5" i="17"/>
  <c r="D4" i="17"/>
  <c r="E7" i="3"/>
  <c r="C7" i="3"/>
  <c r="E6" i="3"/>
  <c r="C6" i="3"/>
  <c r="E5" i="3"/>
  <c r="C5" i="3"/>
  <c r="E4" i="3"/>
  <c r="C4" i="3"/>
  <c r="E51" i="3"/>
  <c r="E50" i="3"/>
  <c r="E8" i="3"/>
  <c r="C8" i="3"/>
  <c r="E37" i="3"/>
  <c r="B11" i="16"/>
  <c r="B20" i="16"/>
  <c r="B1" i="16"/>
  <c r="M8" i="2"/>
  <c r="M6" i="2"/>
  <c r="L4" i="2"/>
  <c r="D1" i="2"/>
  <c r="F4" i="2"/>
  <c r="K4" i="2"/>
  <c r="F3" i="2"/>
  <c r="B1" i="2"/>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5" i="1"/>
  <c r="J49" i="1"/>
  <c r="J50" i="1"/>
  <c r="J51" i="1"/>
  <c r="J52" i="1"/>
  <c r="J53" i="1"/>
  <c r="J54" i="1"/>
  <c r="J55" i="1"/>
  <c r="J56" i="1"/>
  <c r="J57" i="1"/>
  <c r="J58" i="1"/>
  <c r="J59" i="1"/>
  <c r="J60" i="1"/>
  <c r="J61" i="1"/>
  <c r="J62" i="1"/>
  <c r="J63" i="1"/>
  <c r="J64" i="1"/>
  <c r="J65" i="1"/>
  <c r="J66" i="1"/>
  <c r="J67" i="1"/>
  <c r="J68" i="1"/>
  <c r="J69" i="1"/>
  <c r="J70" i="1"/>
  <c r="J71" i="1"/>
  <c r="J72" i="1"/>
  <c r="J73" i="1"/>
  <c r="E62" i="3"/>
  <c r="E63" i="3"/>
  <c r="E64" i="3"/>
  <c r="E74" i="3"/>
  <c r="F5" i="2"/>
  <c r="F6" i="2"/>
  <c r="J48" i="1"/>
  <c r="J47" i="1"/>
  <c r="B8" i="17" l="1"/>
  <c r="D8" i="17" s="1"/>
  <c r="C9" i="17"/>
  <c r="E9" i="3" a="1"/>
  <c r="E9" i="3" s="1"/>
  <c r="C9" i="3" s="1"/>
  <c r="E22" i="16" s="1"/>
  <c r="I17" i="20"/>
  <c r="H19" i="20"/>
  <c r="I46" i="20"/>
  <c r="J25" i="20"/>
  <c r="H40" i="20"/>
  <c r="J18" i="20"/>
  <c r="I28" i="20"/>
  <c r="J29" i="20"/>
  <c r="H29" i="20"/>
  <c r="I47" i="20"/>
  <c r="J41" i="20"/>
  <c r="J31" i="20"/>
  <c r="J45" i="20"/>
  <c r="J27" i="20"/>
  <c r="H46" i="20"/>
  <c r="H48" i="20"/>
  <c r="H17" i="20"/>
  <c r="H36" i="20"/>
  <c r="I31" i="20"/>
  <c r="J33" i="20"/>
  <c r="J28" i="20"/>
  <c r="J48" i="20"/>
  <c r="I34" i="20"/>
  <c r="J20" i="20"/>
  <c r="I15" i="20"/>
  <c r="I26" i="20"/>
  <c r="H30" i="20"/>
  <c r="I25" i="20"/>
  <c r="J40" i="20"/>
  <c r="J43" i="20"/>
  <c r="I27" i="20"/>
  <c r="H14" i="20"/>
  <c r="I22" i="20"/>
  <c r="H22" i="20"/>
  <c r="I21" i="20"/>
  <c r="J32" i="20"/>
  <c r="J35" i="20"/>
  <c r="J44" i="20"/>
  <c r="H16" i="20"/>
  <c r="H15" i="20"/>
  <c r="I14" i="20"/>
  <c r="H28" i="20"/>
  <c r="H5" i="20"/>
  <c r="H43" i="20"/>
  <c r="J24" i="20"/>
  <c r="J15" i="20"/>
  <c r="H37" i="20"/>
  <c r="I43" i="20"/>
  <c r="H39" i="20"/>
  <c r="J16" i="20"/>
  <c r="J19" i="20"/>
  <c r="H38" i="20"/>
  <c r="J17" i="20"/>
  <c r="H34" i="20"/>
  <c r="H32" i="20"/>
  <c r="J14" i="20"/>
  <c r="I48" i="20"/>
  <c r="I45" i="20"/>
  <c r="H33" i="20"/>
  <c r="J47" i="20"/>
  <c r="H21" i="20"/>
  <c r="J36" i="20"/>
  <c r="I16" i="20"/>
  <c r="I30" i="20"/>
  <c r="H13" i="20"/>
  <c r="I40" i="20"/>
  <c r="I39" i="20"/>
  <c r="H27" i="20"/>
  <c r="J39" i="20"/>
  <c r="J13" i="20"/>
  <c r="I5" i="20"/>
  <c r="I33" i="20"/>
  <c r="H47" i="20"/>
  <c r="J23" i="20"/>
  <c r="I35" i="20"/>
  <c r="H24" i="20"/>
  <c r="H31" i="20"/>
  <c r="J38" i="20"/>
  <c r="I20" i="20"/>
  <c r="I42" i="20"/>
  <c r="I29" i="20"/>
  <c r="I36" i="20"/>
  <c r="H18" i="20"/>
  <c r="I23" i="20"/>
  <c r="I44" i="20"/>
  <c r="J30" i="20"/>
  <c r="I32" i="20"/>
  <c r="I38" i="20"/>
  <c r="I13" i="20"/>
  <c r="H35" i="20"/>
  <c r="J37" i="20"/>
  <c r="I41" i="20"/>
  <c r="I37" i="20"/>
  <c r="I19" i="20"/>
  <c r="H45" i="20"/>
  <c r="J42" i="20"/>
  <c r="I24" i="20"/>
  <c r="I18" i="20"/>
  <c r="H41" i="20"/>
  <c r="H26" i="20"/>
  <c r="H44" i="20"/>
  <c r="H25" i="20"/>
  <c r="J34" i="20"/>
  <c r="J21" i="20"/>
  <c r="J22" i="20"/>
  <c r="J46" i="20"/>
  <c r="H20" i="20"/>
  <c r="H42" i="20"/>
  <c r="H23" i="20"/>
  <c r="J26" i="20"/>
  <c r="J6" i="20"/>
  <c r="H6" i="20"/>
  <c r="I6" i="20"/>
  <c r="J5" i="20"/>
  <c r="E14" i="3" a="1"/>
  <c r="E14" i="3" s="1"/>
  <c r="C14" i="3" s="1"/>
  <c r="E15" i="3" a="1"/>
  <c r="E15" i="3" s="1"/>
  <c r="C15" i="3" s="1"/>
  <c r="E16" i="3" a="1"/>
  <c r="E16" i="3" s="1"/>
  <c r="C16" i="3" s="1"/>
  <c r="E17" i="3" a="1"/>
  <c r="E17" i="3" s="1"/>
  <c r="C17" i="3" s="1"/>
  <c r="E18" i="3" a="1"/>
  <c r="E18" i="3" s="1"/>
  <c r="C18" i="3" s="1"/>
  <c r="C12" i="3"/>
  <c r="E25" i="16" s="1"/>
  <c r="C10" i="3"/>
  <c r="C11" i="3"/>
  <c r="C13" i="3"/>
  <c r="E58" i="3" a="1"/>
  <c r="E58" i="3" s="1"/>
  <c r="C58" i="3" s="1"/>
  <c r="E15" i="16" s="1"/>
  <c r="E60" i="3" a="1"/>
  <c r="E60" i="3" s="1"/>
  <c r="C60" i="3" s="1"/>
  <c r="E17" i="16" s="1"/>
  <c r="E48" i="16"/>
  <c r="E49" i="16"/>
  <c r="E50" i="16"/>
  <c r="E47" i="16"/>
  <c r="E51" i="16"/>
  <c r="F11" i="16"/>
  <c r="E54" i="16"/>
  <c r="E33" i="16"/>
  <c r="R52" i="16" s="1"/>
  <c r="F1" i="16"/>
  <c r="C68" i="3"/>
  <c r="M4" i="2"/>
  <c r="F20" i="16"/>
  <c r="F33" i="16"/>
  <c r="H3" i="1"/>
  <c r="F54" i="16"/>
  <c r="F1" i="2"/>
  <c r="G4" i="2"/>
  <c r="H4" i="2" s="1"/>
  <c r="C5" i="2"/>
  <c r="C6" i="2"/>
  <c r="G6" i="2"/>
  <c r="H6" i="2" s="1"/>
  <c r="C3" i="2"/>
  <c r="G5" i="2"/>
  <c r="H5" i="2" s="1"/>
  <c r="C4" i="2"/>
  <c r="G3" i="2"/>
  <c r="C40" i="3"/>
  <c r="I58" i="1"/>
  <c r="L62" i="1"/>
  <c r="L69" i="1"/>
  <c r="L59" i="1"/>
  <c r="I59" i="1"/>
  <c r="L61" i="1"/>
  <c r="I72" i="1"/>
  <c r="L72" i="1"/>
  <c r="L73" i="1"/>
  <c r="I65" i="1"/>
  <c r="I69" i="1"/>
  <c r="L55" i="1"/>
  <c r="K68" i="1"/>
  <c r="L70" i="1"/>
  <c r="K63" i="1"/>
  <c r="L60" i="1"/>
  <c r="I55" i="1"/>
  <c r="I68" i="1"/>
  <c r="L56" i="1"/>
  <c r="L58" i="1"/>
  <c r="I70" i="1"/>
  <c r="I73" i="1"/>
  <c r="I71" i="1"/>
  <c r="I62" i="1"/>
  <c r="I66" i="1"/>
  <c r="G1" i="16"/>
  <c r="O2" i="16" s="1"/>
  <c r="C6" i="16" s="1"/>
  <c r="K56" i="1"/>
  <c r="K66" i="1"/>
  <c r="L54" i="1"/>
  <c r="I54" i="1"/>
  <c r="L57" i="1"/>
  <c r="K60" i="1"/>
  <c r="L67" i="1"/>
  <c r="I67" i="1"/>
  <c r="I61" i="1"/>
  <c r="I64" i="1"/>
  <c r="L63" i="1"/>
  <c r="L64" i="1"/>
  <c r="L71" i="1"/>
  <c r="L65" i="1"/>
  <c r="K57" i="1"/>
  <c r="E58" i="16"/>
  <c r="E36" i="16"/>
  <c r="E43" i="16"/>
  <c r="E60" i="16"/>
  <c r="E7" i="16"/>
  <c r="E37" i="16"/>
  <c r="E57" i="16"/>
  <c r="E65" i="16"/>
  <c r="E56" i="16"/>
  <c r="E67" i="16"/>
  <c r="E35" i="16"/>
  <c r="E64" i="16"/>
  <c r="E39" i="16"/>
  <c r="E5" i="16"/>
  <c r="E61" i="16"/>
  <c r="E55" i="3" a="1"/>
  <c r="E55" i="3" s="1"/>
  <c r="C55" i="3" s="1"/>
  <c r="E16" i="16" s="1"/>
  <c r="E54" i="3" a="1"/>
  <c r="E54" i="3" s="1"/>
  <c r="C54" i="3" s="1"/>
  <c r="E43" i="3"/>
  <c r="C43" i="3" s="1"/>
  <c r="C42" i="3"/>
  <c r="C41" i="3"/>
  <c r="C53" i="3"/>
  <c r="E14" i="16" s="1"/>
  <c r="C39" i="3"/>
  <c r="C52" i="3"/>
  <c r="E13" i="16" s="1"/>
  <c r="C38" i="3"/>
  <c r="E9" i="16"/>
  <c r="E4" i="16"/>
  <c r="E6" i="16"/>
  <c r="E66" i="16"/>
  <c r="E68" i="16"/>
  <c r="E8" i="16"/>
  <c r="E3" i="16"/>
  <c r="E3" i="3"/>
  <c r="E41" i="16"/>
  <c r="C57" i="3"/>
  <c r="E18" i="16" s="1"/>
  <c r="C45" i="3"/>
  <c r="C44" i="3"/>
  <c r="B9" i="17" l="1"/>
  <c r="D9" i="17" s="1"/>
  <c r="C10" i="17"/>
  <c r="F42" i="1"/>
  <c r="K41" i="20"/>
  <c r="K19" i="20"/>
  <c r="K40" i="20"/>
  <c r="K48" i="20"/>
  <c r="K33" i="20"/>
  <c r="K29" i="20"/>
  <c r="K46" i="20"/>
  <c r="K25" i="20"/>
  <c r="K28" i="20"/>
  <c r="K44" i="20"/>
  <c r="K26" i="20"/>
  <c r="K15" i="20"/>
  <c r="K16" i="20"/>
  <c r="K31" i="20"/>
  <c r="K34" i="20"/>
  <c r="K22" i="20"/>
  <c r="K35" i="20"/>
  <c r="K23" i="20"/>
  <c r="K39" i="20"/>
  <c r="K42" i="20"/>
  <c r="K27" i="20"/>
  <c r="K43" i="20"/>
  <c r="K20" i="20"/>
  <c r="K37" i="20"/>
  <c r="K30" i="20"/>
  <c r="K13" i="20"/>
  <c r="K18" i="20"/>
  <c r="K36" i="20"/>
  <c r="K17" i="20"/>
  <c r="K24" i="20"/>
  <c r="K5" i="20"/>
  <c r="K45" i="20"/>
  <c r="K32" i="20"/>
  <c r="K21" i="20"/>
  <c r="K47" i="20"/>
  <c r="K6" i="20"/>
  <c r="K38" i="20"/>
  <c r="K14" i="20"/>
  <c r="I7" i="20"/>
  <c r="H7" i="20"/>
  <c r="J7" i="20"/>
  <c r="E31" i="16"/>
  <c r="G31" i="16" s="1"/>
  <c r="E30" i="16"/>
  <c r="G30" i="16" s="1"/>
  <c r="E29" i="16"/>
  <c r="G29" i="16" s="1"/>
  <c r="E26" i="16"/>
  <c r="G26" i="16" s="1"/>
  <c r="E28" i="16"/>
  <c r="G28" i="16" s="1"/>
  <c r="E27" i="16"/>
  <c r="G27" i="16" s="1"/>
  <c r="G22" i="16"/>
  <c r="G25" i="16"/>
  <c r="Q24" i="16"/>
  <c r="R50" i="16"/>
  <c r="R51" i="16"/>
  <c r="R48" i="16"/>
  <c r="R49" i="16"/>
  <c r="R46" i="16"/>
  <c r="R47" i="16"/>
  <c r="R44" i="16"/>
  <c r="R45" i="16"/>
  <c r="R37" i="16"/>
  <c r="R43" i="16"/>
  <c r="R40" i="16"/>
  <c r="R41" i="16"/>
  <c r="R42" i="16"/>
  <c r="R39" i="16"/>
  <c r="R38" i="16"/>
  <c r="R36" i="16"/>
  <c r="R35" i="16"/>
  <c r="H3" i="2"/>
  <c r="H1" i="2" s="1"/>
  <c r="G1" i="2"/>
  <c r="C1" i="2"/>
  <c r="H4" i="16"/>
  <c r="C5" i="16"/>
  <c r="H9" i="16"/>
  <c r="H3" i="16"/>
  <c r="C4" i="16"/>
  <c r="O3" i="16"/>
  <c r="H5" i="16"/>
  <c r="H6" i="16"/>
  <c r="H7" i="16"/>
  <c r="C7" i="16"/>
  <c r="H8" i="16"/>
  <c r="C3" i="16"/>
  <c r="C9" i="16"/>
  <c r="C8" i="16"/>
  <c r="E23" i="16"/>
  <c r="G23" i="16" s="1"/>
  <c r="E83" i="3"/>
  <c r="C83" i="3" s="1"/>
  <c r="E85" i="3"/>
  <c r="C85" i="3" s="1"/>
  <c r="F27" i="1" s="1"/>
  <c r="O23" i="16"/>
  <c r="E81" i="3"/>
  <c r="C81" i="3" s="1"/>
  <c r="E46" i="16" s="1"/>
  <c r="E82" i="3"/>
  <c r="C82" i="3" s="1"/>
  <c r="F9" i="1" s="1"/>
  <c r="E84" i="3"/>
  <c r="C84" i="3" s="1"/>
  <c r="E45" i="16" s="1"/>
  <c r="E86" i="3"/>
  <c r="C86" i="3" s="1"/>
  <c r="E52" i="16" s="1"/>
  <c r="C3" i="3"/>
  <c r="E87" i="3"/>
  <c r="C87" i="3" s="1"/>
  <c r="F15" i="1" s="1"/>
  <c r="E24" i="16"/>
  <c r="G24" i="16" s="1"/>
  <c r="F151" i="20" a="1"/>
  <c r="F163" i="20" a="1"/>
  <c r="F1587" i="20" a="1"/>
  <c r="F971" i="20" a="1"/>
  <c r="F1599" i="20" a="1"/>
  <c r="F353" i="20" a="1"/>
  <c r="F1092" i="20" a="1"/>
  <c r="F1495" i="20" a="1"/>
  <c r="F156" i="20" a="1"/>
  <c r="F1719" i="20" a="1"/>
  <c r="F2021" i="20" a="1"/>
  <c r="F1410" i="20" a="1"/>
  <c r="F1930" i="20" a="1"/>
  <c r="F1929" i="20" a="1"/>
  <c r="F132" i="20" a="1"/>
  <c r="F1776" i="20" a="1"/>
  <c r="F1899" i="20" a="1"/>
  <c r="F849" i="20" a="1"/>
  <c r="F1402" i="20" a="1"/>
  <c r="F122" i="20" a="1"/>
  <c r="F1933" i="20" a="1"/>
  <c r="F1289" i="20" a="1"/>
  <c r="F870" i="20" a="1"/>
  <c r="F186" i="20" a="1"/>
  <c r="F1729" i="20" a="1"/>
  <c r="F1276" i="20" a="1"/>
  <c r="F501" i="20" a="1"/>
  <c r="F289" i="20" a="1"/>
  <c r="F804" i="20" a="1"/>
  <c r="F1920" i="20" a="1"/>
  <c r="F312" i="20" a="1"/>
  <c r="F259" i="20" a="1"/>
  <c r="F754" i="20" a="1"/>
  <c r="F736" i="20" a="1"/>
  <c r="F1088" i="20" a="1"/>
  <c r="F1662" i="20" a="1"/>
  <c r="F1507" i="20" a="1"/>
  <c r="F129" i="20" a="1"/>
  <c r="F667" i="20" a="1"/>
  <c r="F1253" i="20" a="1"/>
  <c r="F1952" i="20" a="1"/>
  <c r="F1510" i="20" a="1"/>
  <c r="F928" i="20" a="1"/>
  <c r="F99" i="20" a="1"/>
  <c r="F355" i="20" a="1"/>
  <c r="F1833" i="20" a="1"/>
  <c r="F1263" i="20" a="1"/>
  <c r="F533" i="20" a="1"/>
  <c r="F935" i="20" a="1"/>
  <c r="F1586" i="20" a="1"/>
  <c r="F142" i="20" a="1"/>
  <c r="F1681" i="20" a="1"/>
  <c r="F1486" i="20" a="1"/>
  <c r="F2027" i="20" a="1"/>
  <c r="F1531" i="20" a="1"/>
  <c r="F1576" i="20" a="1"/>
  <c r="F784" i="20" a="1"/>
  <c r="F1842" i="20" a="1"/>
  <c r="F376" i="20" a="1"/>
  <c r="F1233" i="20" a="1"/>
  <c r="F1774" i="20" a="1"/>
  <c r="F796" i="20" a="1"/>
  <c r="F837" i="20" a="1"/>
  <c r="F1891" i="20" a="1"/>
  <c r="F2026" i="20" a="1"/>
  <c r="F1651" i="20" a="1"/>
  <c r="F833" i="20" a="1"/>
  <c r="F798" i="20" a="1"/>
  <c r="F1513" i="20" a="1"/>
  <c r="F1876" i="20" a="1"/>
  <c r="F1170" i="20" a="1"/>
  <c r="F1185" i="20" a="1"/>
  <c r="F1733" i="20" a="1"/>
  <c r="F929" i="20" a="1"/>
  <c r="F2006" i="20" a="1"/>
  <c r="F749" i="20" a="1"/>
  <c r="F1746" i="20" a="1"/>
  <c r="F283" i="20" a="1"/>
  <c r="F1071" i="20" a="1"/>
  <c r="F561" i="20" a="1"/>
  <c r="F1961" i="20" a="1"/>
  <c r="F552" i="20" a="1"/>
  <c r="F473" i="20" a="1"/>
  <c r="F69" i="20" a="1"/>
  <c r="F1006" i="20" a="1"/>
  <c r="F1428" i="20" a="1"/>
  <c r="F1186" i="20" a="1"/>
  <c r="F923" i="20" a="1"/>
  <c r="F1854" i="20" a="1"/>
  <c r="F211" i="20" a="1"/>
  <c r="F1450" i="20" a="1"/>
  <c r="F1285" i="20" a="1"/>
  <c r="F1208" i="20" a="1"/>
  <c r="F1778" i="20" a="1"/>
  <c r="F453" i="20" a="1"/>
  <c r="F443" i="20" a="1"/>
  <c r="F1738" i="20" a="1"/>
  <c r="F471" i="20" a="1"/>
  <c r="F1124" i="20" a="1"/>
  <c r="F724" i="20" a="1"/>
  <c r="F1741" i="20" a="1"/>
  <c r="F1243" i="20" a="1"/>
  <c r="F48" i="20" a="1"/>
  <c r="F1434" i="20" a="1"/>
  <c r="F822" i="20" a="1"/>
  <c r="F767" i="20" a="1"/>
  <c r="F1993" i="20" a="1"/>
  <c r="F1709" i="20" a="1"/>
  <c r="F982" i="20" a="1"/>
  <c r="F701" i="20" a="1"/>
  <c r="F508" i="20" a="1"/>
  <c r="F1244" i="20" a="1"/>
  <c r="F1159" i="20" a="1"/>
  <c r="F752" i="20" a="1"/>
  <c r="F1359" i="20" a="1"/>
  <c r="F695" i="20" a="1"/>
  <c r="F1591" i="20" a="1"/>
  <c r="F303" i="20" a="1"/>
  <c r="F900" i="20" a="1"/>
  <c r="F1841" i="20" a="1"/>
  <c r="F1401" i="20" a="1"/>
  <c r="F63" i="20" a="1"/>
  <c r="F656" i="20" a="1"/>
  <c r="F412" i="20" a="1"/>
  <c r="F964" i="20" a="1"/>
  <c r="F1788" i="20" a="1"/>
  <c r="F812" i="20" a="1"/>
  <c r="F1958" i="20" a="1"/>
  <c r="F814" i="20" a="1"/>
  <c r="F1161" i="20" a="1"/>
  <c r="F1545" i="20" a="1"/>
  <c r="F1265" i="20" a="1"/>
  <c r="F504" i="20" a="1"/>
  <c r="F423" i="20" a="1"/>
  <c r="F336" i="20" a="1"/>
  <c r="F896" i="20" a="1"/>
  <c r="F1949" i="20" a="1"/>
  <c r="F144" i="20" a="1"/>
  <c r="F510" i="20" a="1"/>
  <c r="F1964" i="20" a="1"/>
  <c r="F1735" i="20" a="1"/>
  <c r="F1100" i="20" a="1"/>
  <c r="F1324" i="20" a="1"/>
  <c r="F1195" i="20" a="1"/>
  <c r="F82" i="20" a="1"/>
  <c r="F1668" i="20" a="1"/>
  <c r="F1361" i="20" a="1"/>
  <c r="F50" i="20" a="1"/>
  <c r="F1191" i="20" a="1"/>
  <c r="F740" i="20" a="1"/>
  <c r="F959" i="20" a="1"/>
  <c r="F153" i="20" a="1"/>
  <c r="F968" i="20" a="1"/>
  <c r="F493" i="20" a="1"/>
  <c r="F1278" i="20" a="1"/>
  <c r="F1765" i="20" a="1"/>
  <c r="F606" i="20" a="1"/>
  <c r="F559" i="20" a="1"/>
  <c r="F137" i="20" a="1"/>
  <c r="F1829" i="20" a="1"/>
  <c r="F1411" i="20" a="1"/>
  <c r="F620" i="20" a="1"/>
  <c r="F1292" i="20" a="1"/>
  <c r="F969" i="20" a="1"/>
  <c r="F570" i="20" a="1"/>
  <c r="F305" i="20" a="1"/>
  <c r="F1108" i="20" a="1"/>
  <c r="F1101" i="20" a="1"/>
  <c r="F1034" i="20" a="1"/>
  <c r="F1238" i="20" a="1"/>
  <c r="F1323" i="20" a="1"/>
  <c r="F1606" i="20" a="1"/>
  <c r="F806" i="20" a="1"/>
  <c r="F233" i="20" a="1"/>
  <c r="F1039" i="20" a="1"/>
  <c r="F24" i="20" a="1"/>
  <c r="F765" i="20" a="1"/>
  <c r="F881" i="20" a="1"/>
  <c r="F1525" i="20" a="1"/>
  <c r="F199" i="20" a="1"/>
  <c r="F1258" i="20" a="1"/>
  <c r="F786" i="20" a="1"/>
  <c r="F1560" i="20" a="1"/>
  <c r="F1761" i="20" a="1"/>
  <c r="F579" i="20" a="1"/>
  <c r="F1418" i="20" a="1"/>
  <c r="F653" i="20" a="1"/>
  <c r="F794" i="20" a="1"/>
  <c r="F1696" i="20" a="1"/>
  <c r="F2041" i="20" a="1"/>
  <c r="F189" i="20" a="1"/>
  <c r="F1816" i="20" a="1"/>
  <c r="F1827" i="20" a="1"/>
  <c r="F2049" i="20" a="1"/>
  <c r="F1472" i="20" a="1"/>
  <c r="F841" i="20" a="1"/>
  <c r="F1850" i="20" a="1"/>
  <c r="F1294" i="20" a="1"/>
  <c r="F371" i="20" a="1"/>
  <c r="F224" i="20" a="1"/>
  <c r="F1061" i="20" a="1"/>
  <c r="F1944" i="20" a="1"/>
  <c r="F683" i="20" a="1"/>
  <c r="F810" i="20" a="1"/>
  <c r="F657" i="20" a="1"/>
  <c r="F183" i="20" a="1"/>
  <c r="F1271" i="20" a="1"/>
  <c r="F1171" i="20" a="1"/>
  <c r="F853" i="20" a="1"/>
  <c r="F1936" i="20" a="1"/>
  <c r="F458" i="20" a="1"/>
  <c r="F1206" i="20" a="1"/>
  <c r="F1074" i="20" a="1"/>
  <c r="F1594" i="20" a="1"/>
  <c r="F1690" i="20" a="1"/>
  <c r="F295" i="20" a="1"/>
  <c r="F1181" i="20" a="1"/>
  <c r="F1540" i="20" a="1"/>
  <c r="F1643" i="20" a="1"/>
  <c r="F1336" i="20" a="1"/>
  <c r="F725" i="20" a="1"/>
  <c r="F1865" i="20" a="1"/>
  <c r="F1245" i="20" a="1"/>
  <c r="F1063" i="20" a="1"/>
  <c r="F1672" i="20" a="1"/>
  <c r="F296" i="20" a="1"/>
  <c r="F415" i="20" a="1"/>
  <c r="F728" i="20" a="1"/>
  <c r="F828" i="20" a="1"/>
  <c r="F1384" i="20" a="1"/>
  <c r="F1593" i="20" a="1"/>
  <c r="F1290" i="20" a="1"/>
  <c r="F626" i="20" a="1"/>
  <c r="F1303" i="20" a="1"/>
  <c r="F518" i="20" a="1"/>
  <c r="F1442" i="20" a="1"/>
  <c r="F911" i="20" a="1"/>
  <c r="F649" i="20" a="1"/>
  <c r="F1980" i="20" a="1"/>
  <c r="F875" i="20" a="1"/>
  <c r="F298" i="20" a="1"/>
  <c r="F197" i="20" a="1"/>
  <c r="F250" i="20" a="1"/>
  <c r="F1775" i="20" a="1"/>
  <c r="F1715" i="20" a="1"/>
  <c r="F179" i="20" a="1"/>
  <c r="F1894" i="20" a="1"/>
  <c r="F1438" i="20" a="1"/>
  <c r="F1873" i="20" a="1"/>
  <c r="F1354" i="20" a="1"/>
  <c r="F1808" i="20" a="1"/>
  <c r="F1169" i="20" a="1"/>
  <c r="F168" i="20" a="1"/>
  <c r="F1749" i="20" a="1"/>
  <c r="F1916" i="20" a="1"/>
  <c r="F1763" i="20" a="1"/>
  <c r="F1300" i="20" a="1"/>
  <c r="F1262" i="20" a="1"/>
  <c r="F1116" i="20" a="1"/>
  <c r="F1149" i="20" a="1"/>
  <c r="F1001" i="20" a="1"/>
  <c r="F1328" i="20" a="1"/>
  <c r="F1965" i="20" a="1"/>
  <c r="F883" i="20" a="1"/>
  <c r="F612" i="20" a="1"/>
  <c r="F2032" i="20" a="1"/>
  <c r="F513" i="20" a="1"/>
  <c r="F2034" i="20" a="1"/>
  <c r="F678" i="20" a="1"/>
  <c r="F1506" i="20" a="1"/>
  <c r="F334" i="20" a="1"/>
  <c r="F1343" i="20" a="1"/>
  <c r="F878" i="20" a="1"/>
  <c r="F1760" i="20" a="1"/>
  <c r="F1067" i="20" a="1"/>
  <c r="F1021" i="20" a="1"/>
  <c r="F297" i="20" a="1"/>
  <c r="F715" i="20" a="1"/>
  <c r="F944" i="20" a="1"/>
  <c r="F368" i="20" a="1"/>
  <c r="F565" i="20" a="1"/>
  <c r="F737" i="20" a="1"/>
  <c r="F64" i="20" a="1"/>
  <c r="F351" i="20" a="1"/>
  <c r="F43" i="20" a="1"/>
  <c r="F1542" i="20" a="1"/>
  <c r="F527" i="20" a="1"/>
  <c r="F902" i="20" a="1"/>
  <c r="F79" i="20" a="1"/>
  <c r="F1381" i="20" a="1"/>
  <c r="F1164" i="20" a="1"/>
  <c r="F1207" i="20" a="1"/>
  <c r="F1302" i="20" a="1"/>
  <c r="F1625" i="20" a="1"/>
  <c r="F845" i="20" a="1"/>
  <c r="F1846" i="20" a="1"/>
  <c r="F1076" i="20" a="1"/>
  <c r="F732" i="20" a="1"/>
  <c r="F869" i="20" a="1"/>
  <c r="F445" i="20" a="1"/>
  <c r="F433" i="20" a="1"/>
  <c r="F1543" i="20" a="1"/>
  <c r="F1107" i="20" a="1"/>
  <c r="F1182" i="20" a="1"/>
  <c r="F1070" i="20" a="1"/>
  <c r="F572" i="20" a="1"/>
  <c r="F1261" i="20" a="1"/>
  <c r="F1282" i="20" a="1"/>
  <c r="F452" i="20" a="1"/>
  <c r="F188" i="20" a="1"/>
  <c r="F1759" i="20" a="1"/>
  <c r="F1210" i="20" a="1"/>
  <c r="F1550" i="20" a="1"/>
  <c r="F1476" i="20" a="1"/>
  <c r="F1925" i="20" a="1"/>
  <c r="F1277" i="20" a="1"/>
  <c r="F1020" i="20" a="1"/>
  <c r="F856" i="20" a="1"/>
  <c r="F192" i="20" a="1"/>
  <c r="F1855" i="20" a="1"/>
  <c r="F9" i="20" a="1"/>
  <c r="F1937" i="20" a="1"/>
  <c r="F637" i="20" a="1"/>
  <c r="F1072" i="20" a="1"/>
  <c r="F727" i="20" a="1"/>
  <c r="F863" i="20" a="1"/>
  <c r="F977" i="20" a="1"/>
  <c r="F1790" i="20" a="1"/>
  <c r="F1957" i="20" a="1"/>
  <c r="F257" i="20" a="1"/>
  <c r="F177" i="20" a="1"/>
  <c r="F1190" i="20" a="1"/>
  <c r="F1607" i="20" a="1"/>
  <c r="F1800" i="20" a="1"/>
  <c r="F372" i="20" a="1"/>
  <c r="F1305" i="20" a="1"/>
  <c r="F1444" i="20" a="1"/>
  <c r="F388" i="20" a="1"/>
  <c r="F23" i="20" a="1"/>
  <c r="F1634" i="20" a="1"/>
  <c r="F1045" i="20" a="1"/>
  <c r="F672" i="20" a="1"/>
  <c r="F419" i="20" a="1"/>
  <c r="F682" i="20" a="1"/>
  <c r="F143" i="20" a="1"/>
  <c r="F209" i="20" a="1"/>
  <c r="F1481" i="20" a="1"/>
  <c r="F915" i="20" a="1"/>
  <c r="F424" i="20" a="1"/>
  <c r="F608" i="20" a="1"/>
  <c r="F1286" i="20" a="1"/>
  <c r="F1777" i="20" a="1"/>
  <c r="F873" i="20" a="1"/>
  <c r="F1205" i="20" a="1"/>
  <c r="F1629" i="20" a="1"/>
  <c r="F252" i="20" a="1"/>
  <c r="F1209" i="20" a="1"/>
  <c r="F1162" i="20" a="1"/>
  <c r="F668" i="20" a="1"/>
  <c r="F212" i="20" a="1"/>
  <c r="F243" i="20" a="1"/>
  <c r="F1465" i="20" a="1"/>
  <c r="F591" i="20" a="1"/>
  <c r="F588" i="20" a="1"/>
  <c r="F1353" i="20" a="1"/>
  <c r="F62" i="20" a="1"/>
  <c r="F1785" i="20" a="1"/>
  <c r="F1177" i="20" a="1"/>
  <c r="F711" i="20" a="1"/>
  <c r="F167" i="20" a="1"/>
  <c r="F880" i="20" a="1"/>
  <c r="F447" i="20" a="1"/>
  <c r="F1082" i="20" a="1"/>
  <c r="F861" i="20" a="1"/>
  <c r="F1703" i="20" a="1"/>
  <c r="F1373" i="20" a="1"/>
  <c r="F1403" i="20" a="1"/>
  <c r="F1739" i="20" a="1"/>
  <c r="F2015" i="20" a="1"/>
  <c r="F962" i="20" a="1"/>
  <c r="F585" i="20" a="1"/>
  <c r="F824" i="20" a="1"/>
  <c r="F302" i="20" a="1"/>
  <c r="F450" i="20" a="1"/>
  <c r="F1298" i="20" a="1"/>
  <c r="F307" i="20" a="1"/>
  <c r="F1726" i="20" a="1"/>
  <c r="F1018" i="20" a="1"/>
  <c r="F1595" i="20" a="1"/>
  <c r="F1487" i="20" a="1"/>
  <c r="F1371" i="20" a="1"/>
  <c r="F1247" i="20" a="1"/>
  <c r="F505" i="20" a="1"/>
  <c r="F2028" i="20" a="1"/>
  <c r="F1566" i="20" a="1"/>
  <c r="F1678" i="20" a="1"/>
  <c r="F300" i="20" a="1"/>
  <c r="F1295" i="20" a="1"/>
  <c r="F636" i="20" a="1"/>
  <c r="F460" i="20" a="1"/>
  <c r="F1326" i="20" a="1"/>
  <c r="F808" i="20" a="1"/>
  <c r="F1459" i="20" a="1"/>
  <c r="F722" i="20" a="1"/>
  <c r="F897" i="20" a="1"/>
  <c r="F1996" i="20" a="1"/>
  <c r="F1669" i="20" a="1"/>
  <c r="F272" i="20" a="1"/>
  <c r="F1617" i="20" a="1"/>
  <c r="F1666" i="20" a="1"/>
  <c r="F265" i="20" a="1"/>
  <c r="F169" i="20" a="1"/>
  <c r="F86" i="20" a="1"/>
  <c r="F449" i="20" a="1"/>
  <c r="F507" i="20" a="1"/>
  <c r="F1036" i="20" a="1"/>
  <c r="F685" i="20" a="1"/>
  <c r="F1941" i="20" a="1"/>
  <c r="F1563" i="20" a="1"/>
  <c r="F386" i="20" a="1"/>
  <c r="F1308" i="20" a="1"/>
  <c r="F1019" i="20" a="1"/>
  <c r="F574" i="20" a="1"/>
  <c r="F1492" i="20" a="1"/>
  <c r="F1005" i="20" a="1"/>
  <c r="F1811" i="20" a="1"/>
  <c r="F589" i="20" a="1"/>
  <c r="F1351" i="20" a="1"/>
  <c r="F391" i="20" a="1"/>
  <c r="F34" i="20" a="1"/>
  <c r="F581" i="20" a="1"/>
  <c r="F1654" i="20" a="1"/>
  <c r="F377" i="20" a="1"/>
  <c r="F558" i="20" a="1"/>
  <c r="F698" i="20" a="1"/>
  <c r="F87" i="20" a="1"/>
  <c r="F1655" i="20" a="1"/>
  <c r="F392" i="20" a="1"/>
  <c r="F27" i="20" a="1"/>
  <c r="F847" i="20" a="1"/>
  <c r="F987" i="20" a="1"/>
  <c r="F383" i="20" a="1"/>
  <c r="F1080" i="20" a="1"/>
  <c r="F2042" i="20" a="1"/>
  <c r="F625" i="20" a="1"/>
  <c r="F782" i="20" a="1"/>
  <c r="F1659" i="20" a="1"/>
  <c r="F1912" i="20" a="1"/>
  <c r="F1163" i="20" a="1"/>
  <c r="F1875" i="20" a="1"/>
  <c r="F1218" i="20" a="1"/>
  <c r="F444" i="20" a="1"/>
  <c r="F918" i="20" a="1"/>
  <c r="F195" i="20" a="1"/>
  <c r="F557" i="20" a="1"/>
  <c r="F1312" i="20" a="1"/>
  <c r="F2014" i="20" a="1"/>
  <c r="F1907" i="20" a="1"/>
  <c r="F1254" i="20" a="1"/>
  <c r="F1231" i="20" a="1"/>
  <c r="F175" i="20" a="1"/>
  <c r="F1757" i="20" a="1"/>
  <c r="F1260" i="20" a="1"/>
  <c r="F1199" i="20" a="1"/>
  <c r="F1325" i="20" a="1"/>
  <c r="F439" i="20" a="1"/>
  <c r="F1982" i="20" a="1"/>
  <c r="F976" i="20" a="1"/>
  <c r="F293" i="20" a="1"/>
  <c r="F1477" i="20" a="1"/>
  <c r="F1548" i="20" a="1"/>
  <c r="F1954" i="20" a="1"/>
  <c r="F925" i="20" a="1"/>
  <c r="F1420" i="20" a="1"/>
  <c r="F1083" i="20" a="1"/>
  <c r="F821" i="20" a="1"/>
  <c r="F105" i="20" a="1"/>
  <c r="F39" i="20" a="1"/>
  <c r="F1722" i="20" a="1"/>
  <c r="F938" i="20" a="1"/>
  <c r="F320" i="20" a="1"/>
  <c r="F1514" i="20" a="1"/>
  <c r="F1670" i="20" a="1"/>
  <c r="F278" i="20" a="1"/>
  <c r="F1648" i="20" a="1"/>
  <c r="F512" i="20" a="1"/>
  <c r="F1795" i="20" a="1"/>
  <c r="F1701" i="20" a="1"/>
  <c r="F1232" i="20" a="1"/>
  <c r="F1656" i="20" a="1"/>
  <c r="F831" i="20" a="1"/>
  <c r="F1147" i="20" a="1"/>
  <c r="F33" i="20" a="1"/>
  <c r="F1608" i="20" a="1"/>
  <c r="F486" i="20" a="1"/>
  <c r="F173" i="20" a="1"/>
  <c r="F1311" i="20" a="1"/>
  <c r="F258" i="20" a="1"/>
  <c r="F729" i="20" a="1"/>
  <c r="F771" i="20" a="1"/>
  <c r="F554" i="20" a="1"/>
  <c r="F1155" i="20" a="1"/>
  <c r="F1478" i="20" a="1"/>
  <c r="F669" i="20" a="1"/>
  <c r="F414" i="20" a="1"/>
  <c r="F1797" i="20" a="1"/>
  <c r="F1731" i="20" a="1"/>
  <c r="F860" i="20" a="1"/>
  <c r="F639" i="20" a="1"/>
  <c r="F1575" i="20" a="1"/>
  <c r="F543" i="20" a="1"/>
  <c r="F1572" i="20" a="1"/>
  <c r="F381" i="20" a="1"/>
  <c r="F763" i="20" a="1"/>
  <c r="F1832" i="20" a="1"/>
  <c r="F1374" i="20" a="1"/>
  <c r="F1180" i="20" a="1"/>
  <c r="F68" i="20" a="1"/>
  <c r="F671" i="20" a="1"/>
  <c r="F1457" i="20" a="1"/>
  <c r="F1156" i="20" a="1"/>
  <c r="F321" i="20" a="1"/>
  <c r="F1975" i="20" a="1"/>
  <c r="F1960" i="20" a="1"/>
  <c r="F203" i="20" a="1"/>
  <c r="F1598" i="20" a="1"/>
  <c r="F1222" i="20" a="1"/>
  <c r="F1388" i="20" a="1"/>
  <c r="F1365" i="20" a="1"/>
  <c r="F1017" i="20" a="1"/>
  <c r="F1895" i="20" a="1"/>
  <c r="F607" i="20" a="1"/>
  <c r="F1462" i="20" a="1"/>
  <c r="F362" i="20" a="1"/>
  <c r="F1482" i="20" a="1"/>
  <c r="F1318" i="20" a="1"/>
  <c r="F1823" i="20" a="1"/>
  <c r="F710" i="20" a="1"/>
  <c r="F610" i="20" a="1"/>
  <c r="F1858" i="20" a="1"/>
  <c r="F1273" i="20" a="1"/>
  <c r="F483" i="20" a="1"/>
  <c r="F941" i="20" a="1"/>
  <c r="F652" i="20" a="1"/>
  <c r="F1783" i="20" a="1"/>
  <c r="F441" i="20" a="1"/>
  <c r="F1490" i="20" a="1"/>
  <c r="F1344" i="20" a="1"/>
  <c r="F1030" i="20" a="1"/>
  <c r="F1172" i="20" a="1"/>
  <c r="F416" i="20" a="1"/>
  <c r="F1127" i="20" a="1"/>
  <c r="F1037" i="20" a="1"/>
  <c r="F428" i="20" a="1"/>
  <c r="F492" i="20" a="1"/>
  <c r="F1720" i="20" a="1"/>
  <c r="F785" i="20" a="1"/>
  <c r="F365" i="20" a="1"/>
  <c r="F1229" i="20" a="1"/>
  <c r="F903" i="20" a="1"/>
  <c r="F1012" i="20" a="1"/>
  <c r="F410" i="20" a="1"/>
  <c r="F464" i="20" a="1"/>
  <c r="F1226" i="20" a="1"/>
  <c r="F775" i="20" a="1"/>
  <c r="F1843" i="20" a="1"/>
  <c r="F474" i="20" a="1"/>
  <c r="F587" i="20" a="1"/>
  <c r="F840" i="20" a="1"/>
  <c r="F777" i="20" a="1"/>
  <c r="F846" i="20" a="1"/>
  <c r="F954" i="20" a="1"/>
  <c r="F200" i="20" a="1"/>
  <c r="F434" i="20" a="1"/>
  <c r="F1054" i="20" a="1"/>
  <c r="F1270" i="20" a="1"/>
  <c r="F281" i="20" a="1"/>
  <c r="F1997" i="20" a="1"/>
  <c r="F595" i="20" a="1"/>
  <c r="F14" i="20" a="1"/>
  <c r="F1897" i="20" a="1"/>
  <c r="F432" i="20" a="1"/>
  <c r="F681" i="20" a="1"/>
  <c r="F1503" i="20" a="1"/>
  <c r="F521" i="20" a="1"/>
  <c r="F1924" i="20" a="1"/>
  <c r="F1179" i="20" a="1"/>
  <c r="F1518" i="20" a="1"/>
  <c r="F704" i="20" a="1"/>
  <c r="F1664" i="20" a="1"/>
  <c r="F867" i="20" a="1"/>
  <c r="F640" i="20" a="1"/>
  <c r="F308" i="20" a="1"/>
  <c r="F273" i="20" a="1"/>
  <c r="F131" i="20" a="1"/>
  <c r="F498" i="20" a="1"/>
  <c r="F734" i="20" a="1"/>
  <c r="F397" i="20" a="1"/>
  <c r="F1707" i="20" a="1"/>
  <c r="F592" i="20" a="1"/>
  <c r="F542" i="20" a="1"/>
  <c r="F379" i="20" a="1"/>
  <c r="F1802" i="20" a="1"/>
  <c r="F155" i="20" a="1"/>
  <c r="F832" i="20" a="1"/>
  <c r="F1424" i="20" a="1"/>
  <c r="F1167" i="20" a="1"/>
  <c r="F1456" i="20" a="1"/>
  <c r="F237" i="20" a="1"/>
  <c r="F420" i="20" a="1"/>
  <c r="F1986" i="20" a="1"/>
  <c r="F324" i="20" a="1"/>
  <c r="F1885" i="20" a="1"/>
  <c r="F403" i="20" a="1"/>
  <c r="F1806" i="20" a="1"/>
  <c r="F65" i="20" a="1"/>
  <c r="F2016" i="20" a="1"/>
  <c r="F138" i="20" a="1"/>
  <c r="F134" i="20" a="1"/>
  <c r="F1597" i="20" a="1"/>
  <c r="F530" i="20" a="1"/>
  <c r="F547" i="20" a="1"/>
  <c r="F1474" i="20" a="1"/>
  <c r="F580" i="20" a="1"/>
  <c r="F97" i="20" a="1"/>
  <c r="F584" i="20" a="1"/>
  <c r="F1099" i="20" a="1"/>
  <c r="F70" i="20" a="1"/>
  <c r="F313" i="20" a="1"/>
  <c r="F216" i="20" a="1"/>
  <c r="F1956" i="20" a="1"/>
  <c r="F790" i="20" a="1"/>
  <c r="F487" i="20" a="1"/>
  <c r="F638" i="20" a="1"/>
  <c r="F1150" i="20" a="1"/>
  <c r="F1600" i="20" a="1"/>
  <c r="F102" i="20" a="1"/>
  <c r="F1994" i="20" a="1"/>
  <c r="F1699" i="20" a="1"/>
  <c r="F645" i="20" a="1"/>
  <c r="F1615" i="20" a="1"/>
  <c r="F157" i="20" a="1"/>
  <c r="F958" i="20" a="1"/>
  <c r="F687" i="20" a="1"/>
  <c r="F1392" i="20" a="1"/>
  <c r="F717" i="20" a="1"/>
  <c r="F751" i="20" a="1"/>
  <c r="F1840" i="20" a="1"/>
  <c r="F333" i="20" a="1"/>
  <c r="F544" i="20" a="1"/>
  <c r="F411" i="20" a="1"/>
  <c r="F491" i="20" a="1"/>
  <c r="F1009" i="20" a="1"/>
  <c r="F1534" i="20" a="1"/>
  <c r="F67" i="20" a="1"/>
  <c r="F1992" i="20" a="1"/>
  <c r="F930" i="20" a="1"/>
  <c r="F942" i="20" a="1"/>
  <c r="F888" i="20" a="1"/>
  <c r="F1242" i="20" a="1"/>
  <c r="F1579" i="20" a="1"/>
  <c r="F1959" i="20" a="1"/>
  <c r="F239" i="20" a="1"/>
  <c r="F1454" i="20" a="1"/>
  <c r="F2038" i="20" a="1"/>
  <c r="F1408" i="20" a="1"/>
  <c r="F148" i="20" a="1"/>
  <c r="F1772" i="20" a="1"/>
  <c r="F201" i="20" a="1"/>
  <c r="F1404" i="20" a="1"/>
  <c r="F622" i="20" a="1"/>
  <c r="F1773" i="20" a="1"/>
  <c r="F1671" i="20" a="1"/>
  <c r="F1398" i="20" a="1"/>
  <c r="F2045" i="20" a="1"/>
  <c r="F101" i="20" a="1"/>
  <c r="F1049" i="20" a="1"/>
  <c r="F665" i="20" a="1"/>
  <c r="F1370" i="20" a="1"/>
  <c r="F459" i="20" a="1"/>
  <c r="F58" i="20" a="1"/>
  <c r="F691" i="20" a="1"/>
  <c r="F1003" i="20" a="1"/>
  <c r="F106" i="20" a="1"/>
  <c r="F1605" i="20" a="1"/>
  <c r="F694" i="20" a="1"/>
  <c r="F1813" i="20" a="1"/>
  <c r="F1470" i="20" a="1"/>
  <c r="F627" i="20" a="1"/>
  <c r="F1362" i="20" a="1"/>
  <c r="F316" i="20" a="1"/>
  <c r="F1390" i="20" a="1"/>
  <c r="F1109" i="20" a="1"/>
  <c r="F1805" i="20" a="1"/>
  <c r="F1357" i="20" a="1"/>
  <c r="F1909" i="20" a="1"/>
  <c r="F549" i="20" a="1"/>
  <c r="F613" i="20" a="1"/>
  <c r="F511" i="20" a="1"/>
  <c r="F438" i="20" a="1"/>
  <c r="F1767" i="20" a="1"/>
  <c r="F456" i="20" a="1"/>
  <c r="F248" i="20" a="1"/>
  <c r="F1871" i="20" a="1"/>
  <c r="F1881" i="20" a="1"/>
  <c r="F1725" i="20" a="1"/>
  <c r="F718" i="20" a="1"/>
  <c r="F1839" i="20" a="1"/>
  <c r="F1136" i="20" a="1"/>
  <c r="F1463" i="20" a="1"/>
  <c r="F190" i="20" a="1"/>
  <c r="F1427" i="20" a="1"/>
  <c r="F1146" i="20" a="1"/>
  <c r="F823" i="20" a="1"/>
  <c r="F394" i="20" a="1"/>
  <c r="F843" i="20" a="1"/>
  <c r="F1714" i="20" a="1"/>
  <c r="F783" i="20" a="1"/>
  <c r="F569" i="20" a="1"/>
  <c r="F32" i="20" a="1"/>
  <c r="F1702" i="20" a="1"/>
  <c r="F939" i="20" a="1"/>
  <c r="F418" i="20" a="1"/>
  <c r="F1086" i="20" a="1"/>
  <c r="F772" i="20" a="1"/>
  <c r="F215" i="20" a="1"/>
  <c r="F1114" i="20" a="1"/>
  <c r="F1128" i="20" a="1"/>
  <c r="F1338" i="20" a="1"/>
  <c r="F71" i="20" a="1"/>
  <c r="F1815" i="20" a="1"/>
  <c r="F545" i="20" a="1"/>
  <c r="F1524" i="20" a="1"/>
  <c r="F1103" i="20" a="1"/>
  <c r="F633" i="20" a="1"/>
  <c r="F202" i="20" a="1"/>
  <c r="F2024" i="20" a="1"/>
  <c r="F1515" i="20" a="1"/>
  <c r="F567" i="20" a="1"/>
  <c r="F604" i="20" a="1"/>
  <c r="F1869" i="20" a="1"/>
  <c r="F205" i="20" a="1"/>
  <c r="F1979" i="20" a="1"/>
  <c r="F1882" i="20" a="1"/>
  <c r="F686" i="20" a="1"/>
  <c r="F78" i="20" a="1"/>
  <c r="F795" i="20" a="1"/>
  <c r="F891" i="20" a="1"/>
  <c r="F1588" i="20" a="1"/>
  <c r="F1620" i="20" a="1"/>
  <c r="F937" i="20" a="1"/>
  <c r="F634" i="20" a="1"/>
  <c r="F719" i="20" a="1"/>
  <c r="F1026" i="20" a="1"/>
  <c r="F815" i="20" a="1"/>
  <c r="F1923" i="20" a="1"/>
  <c r="F680" i="20" a="1"/>
  <c r="F1863" i="20" a="1"/>
  <c r="F624" i="20" a="1"/>
  <c r="F401" i="20" a="1"/>
  <c r="F1214" i="20" a="1"/>
  <c r="F290" i="20" a="1"/>
  <c r="F1125" i="20" a="1"/>
  <c r="F631" i="20" a="1"/>
  <c r="F1097" i="20" a="1"/>
  <c r="F529" i="20" a="1"/>
  <c r="F1523" i="20" a="1"/>
  <c r="F965" i="20" a="1"/>
  <c r="F53" i="20" a="1"/>
  <c r="F1406" i="20" a="1"/>
  <c r="F455" i="20" a="1"/>
  <c r="F1236" i="20" a="1"/>
  <c r="F1367" i="20" a="1"/>
  <c r="F2009" i="20" a="1"/>
  <c r="F270" i="20" a="1"/>
  <c r="F975" i="20" a="1"/>
  <c r="F1505" i="20" a="1"/>
  <c r="F1355" i="20" a="1"/>
  <c r="F1927" i="20" a="1"/>
  <c r="F748" i="20" a="1"/>
  <c r="F1627" i="20" a="1"/>
  <c r="F1407" i="20" a="1"/>
  <c r="F98" i="20" a="1"/>
  <c r="F1035" i="20" a="1"/>
  <c r="F582" i="20" a="1"/>
  <c r="F648" i="20" a="1"/>
  <c r="F1350" i="20" a="1"/>
  <c r="F1024" i="20" a="1"/>
  <c r="F1383" i="20" a="1"/>
  <c r="F1240" i="20" a="1"/>
  <c r="F245" i="20" a="1"/>
  <c r="F573" i="20" a="1"/>
  <c r="F500" i="20" a="1"/>
  <c r="F256" i="20" a="1"/>
  <c r="F1139" i="20" a="1"/>
  <c r="F342" i="20" a="1"/>
  <c r="F531" i="20" a="1"/>
  <c r="F1861" i="20" a="1"/>
  <c r="F95" i="20" a="1"/>
  <c r="F337" i="20" a="1"/>
  <c r="F1685" i="20" a="1"/>
  <c r="F468" i="20" a="1"/>
  <c r="F818" i="20" a="1"/>
  <c r="F277" i="20" a="1"/>
  <c r="F981" i="20" a="1"/>
  <c r="F1942" i="20" a="1"/>
  <c r="F1770" i="20" a="1"/>
  <c r="F735" i="20" a="1"/>
  <c r="F738" i="20" a="1"/>
  <c r="F244" i="20" a="1"/>
  <c r="F709" i="20" a="1"/>
  <c r="F1694" i="20" a="1"/>
  <c r="F996" i="20" a="1"/>
  <c r="F80" i="20" a="1"/>
  <c r="F778" i="20" a="1"/>
  <c r="F55" i="20" a="1"/>
  <c r="F133" i="20" a="1"/>
  <c r="F721" i="20" a="1"/>
  <c r="F1358" i="20" a="1"/>
  <c r="F1255" i="20" a="1"/>
  <c r="F827" i="20" a="1"/>
  <c r="F1995" i="20" a="1"/>
  <c r="F1087" i="20" a="1"/>
  <c r="F1131" i="20" a="1"/>
  <c r="F1399" i="20" a="1"/>
  <c r="F1380" i="20" a="1"/>
  <c r="F1400" i="20" a="1"/>
  <c r="F1698" i="20" a="1"/>
  <c r="F181" i="20" a="1"/>
  <c r="F1385" i="20" a="1"/>
  <c r="F164" i="20" a="1"/>
  <c r="F1259" i="20" a="1"/>
  <c r="F1866" i="20" a="1"/>
  <c r="F1215" i="20" a="1"/>
  <c r="F207" i="20" a="1"/>
  <c r="F599" i="20" a="1"/>
  <c r="F1480" i="20" a="1"/>
  <c r="F1740" i="20" a="1"/>
  <c r="F2035" i="20" a="1"/>
  <c r="F1691" i="20" a="1"/>
  <c r="F1934" i="20" a="1"/>
  <c r="F1113" i="20" a="1"/>
  <c r="F1971" i="20" a="1"/>
  <c r="F560" i="20" a="1"/>
  <c r="F829" i="20" a="1"/>
  <c r="F1639" i="20" a="1"/>
  <c r="F1379" i="20" a="1"/>
  <c r="F1946" i="20" a="1"/>
  <c r="F317" i="20" a="1"/>
  <c r="F1848" i="20" a="1"/>
  <c r="F1852" i="20" a="1"/>
  <c r="F254" i="20" a="1"/>
  <c r="F225" i="20" a="1"/>
  <c r="F147" i="20" a="1"/>
  <c r="F1137" i="20" a="1"/>
  <c r="F985" i="20" a="1"/>
  <c r="F974" i="20" a="1"/>
  <c r="F766" i="20" a="1"/>
  <c r="F950" i="20" a="1"/>
  <c r="F517" i="20" a="1"/>
  <c r="F2023" i="20" a="1"/>
  <c r="F2047" i="20" a="1"/>
  <c r="F193" i="20" a="1"/>
  <c r="F407" i="20" a="1"/>
  <c r="F196" i="20" a="1"/>
  <c r="F331" i="20" a="1"/>
  <c r="F1658" i="20" a="1"/>
  <c r="F1712" i="20" a="1"/>
  <c r="F1766" i="20" a="1"/>
  <c r="F1299" i="20" a="1"/>
  <c r="F564" i="20" a="1"/>
  <c r="F1787" i="20" a="1"/>
  <c r="F124" i="20" a="1"/>
  <c r="F1857" i="20" a="1"/>
  <c r="F921" i="20" a="1"/>
  <c r="F858" i="20" a="1"/>
  <c r="F519" i="20" a="1"/>
  <c r="F1307" i="20" a="1"/>
  <c r="F180" i="20" a="1"/>
  <c r="F1623" i="20" a="1"/>
  <c r="F1638" i="20" a="1"/>
  <c r="F1817" i="20" a="1"/>
  <c r="F421" i="20" a="1"/>
  <c r="F1966" i="20" a="1"/>
  <c r="F1521" i="20" a="1"/>
  <c r="F1363" i="20" a="1"/>
  <c r="F787" i="20" a="1"/>
  <c r="F662" i="20" a="1"/>
  <c r="F1335" i="20" a="1"/>
  <c r="F1838" i="20" a="1"/>
  <c r="F1293" i="20" a="1"/>
  <c r="F1553" i="20" a="1"/>
  <c r="F208" i="20" a="1"/>
  <c r="F642" i="20" a="1"/>
  <c r="F1333" i="20" a="1"/>
  <c r="F1416" i="20" a="1"/>
  <c r="F526" i="20" a="1"/>
  <c r="F125" i="20" a="1"/>
  <c r="F1998" i="20" a="1"/>
  <c r="F1225" i="20" a="1"/>
  <c r="F466" i="20" a="1"/>
  <c r="F1834" i="20" a="1"/>
  <c r="F135" i="20" a="1"/>
  <c r="F690" i="20" a="1"/>
  <c r="F269" i="20" a="1"/>
  <c r="F1364" i="20" a="1"/>
  <c r="F731" i="20" a="1"/>
  <c r="F898" i="20" a="1"/>
  <c r="F1460" i="20" a="1"/>
  <c r="F1422" i="20" a="1"/>
  <c r="F263" i="20" a="1"/>
  <c r="F811" i="20" a="1"/>
  <c r="F1485" i="20" a="1"/>
  <c r="F1291" i="20" a="1"/>
  <c r="F1502" i="20" a="1"/>
  <c r="F889" i="20" a="1"/>
  <c r="F1382" i="20" a="1"/>
  <c r="F907" i="20" a="1"/>
  <c r="F1556" i="20" a="1"/>
  <c r="F104" i="20" a="1"/>
  <c r="F485" i="20" a="1"/>
  <c r="F1425" i="20" a="1"/>
  <c r="F118" i="20" a="1"/>
  <c r="F1015" i="20" a="1"/>
  <c r="F596" i="20" a="1"/>
  <c r="F1636" i="20" a="1"/>
  <c r="F1657" i="20" a="1"/>
  <c r="F1002" i="20" a="1"/>
  <c r="F1047" i="20" a="1"/>
  <c r="F1987" i="20" a="1"/>
  <c r="F92" i="20" a="1"/>
  <c r="F271" i="20" a="1"/>
  <c r="F319" i="20" a="1"/>
  <c r="F893" i="20" a="1"/>
  <c r="F1202" i="20" a="1"/>
  <c r="F54" i="20" a="1"/>
  <c r="F509" i="20" a="1"/>
  <c r="F1752" i="20" a="1"/>
  <c r="F1269" i="20" a="1"/>
  <c r="F228" i="20" a="1"/>
  <c r="F266" i="20" a="1"/>
  <c r="F1592" i="20" a="1"/>
  <c r="F315" i="20" a="1"/>
  <c r="F1027" i="20" a="1"/>
  <c r="F936" i="20" a="1"/>
  <c r="F1313" i="20" a="1"/>
  <c r="F1055" i="20" a="1"/>
  <c r="F327" i="20" a="1"/>
  <c r="F874" i="20" a="1"/>
  <c r="F2039" i="20" a="1"/>
  <c r="F1306" i="20" a="1"/>
  <c r="F894" i="20" a="1"/>
  <c r="F1628" i="20" a="1"/>
  <c r="F920" i="20" a="1"/>
  <c r="F1943" i="20" a="1"/>
  <c r="F1339" i="20" a="1"/>
  <c r="F332" i="20" a="1"/>
  <c r="F217" i="20" a="1"/>
  <c r="F515" i="20" a="1"/>
  <c r="F876" i="20" a="1"/>
  <c r="F970" i="20" a="1"/>
  <c r="F436" i="20" a="1"/>
  <c r="F1356" i="20" a="1"/>
  <c r="F20" i="20" a="1"/>
  <c r="F1665" i="20" a="1"/>
  <c r="F41" i="20" a="1"/>
  <c r="F406" i="20" a="1"/>
  <c r="F1831" i="20" a="1"/>
  <c r="F1967" i="20" a="1"/>
  <c r="F1345" i="20" a="1"/>
  <c r="F1129" i="20" a="1"/>
  <c r="F457" i="20" a="1"/>
  <c r="F1705" i="20" a="1"/>
  <c r="F130" i="20" a="1"/>
  <c r="F1635" i="20" a="1"/>
  <c r="F1500" i="20" a="1"/>
  <c r="F676" i="20" a="1"/>
  <c r="F663" i="20" a="1"/>
  <c r="F953" i="20" a="1"/>
  <c r="F497" i="20" a="1"/>
  <c r="F1737" i="20" a="1"/>
  <c r="F723" i="20" a="1"/>
  <c r="F469" i="20" a="1"/>
  <c r="F1023" i="20" a="1"/>
  <c r="F1138" i="20" a="1"/>
  <c r="F871" i="20" a="1"/>
  <c r="F84" i="20" a="1"/>
  <c r="F481" i="20" a="1"/>
  <c r="F2002" i="20" a="1"/>
  <c r="F1310" i="20" a="1"/>
  <c r="F1166" i="20" a="1"/>
  <c r="F972" i="20" a="1"/>
  <c r="F1814" i="20" a="1"/>
  <c r="F1718" i="20" a="1"/>
  <c r="F1880" i="20" a="1"/>
  <c r="F1953" i="20" a="1"/>
  <c r="F1938" i="20" a="1"/>
  <c r="F35" i="20" a="1"/>
  <c r="F1084" i="20" a="1"/>
  <c r="F1688" i="20" a="1"/>
  <c r="F3" i="20" a="1"/>
  <c r="F600" i="20" a="1"/>
  <c r="F72" i="20" a="1"/>
  <c r="F576" i="20" a="1"/>
  <c r="F1152" i="20" a="1"/>
  <c r="F1119" i="20" a="1"/>
  <c r="F1533" i="20" a="1"/>
  <c r="F176" i="20" a="1"/>
  <c r="F1228" i="20" a="1"/>
  <c r="F425" i="20" a="1"/>
  <c r="F1695" i="20" a="1"/>
  <c r="F109" i="20" a="1"/>
  <c r="F1614" i="20" a="1"/>
  <c r="F1583" i="20" a="1"/>
  <c r="F171" i="20" a="1"/>
  <c r="F1747" i="20" a="1"/>
  <c r="F1663" i="20" a="1"/>
  <c r="F803" i="20" a="1"/>
  <c r="F123" i="20" a="1"/>
  <c r="F94" i="20" a="1"/>
  <c r="F1631" i="20" a="1"/>
  <c r="F1458" i="20" a="1"/>
  <c r="F1430" i="20" a="1"/>
  <c r="F1585" i="20" a="1"/>
  <c r="F149" i="20" a="1"/>
  <c r="F670" i="20" a="1"/>
  <c r="F779" i="20" a="1"/>
  <c r="F1972" i="20" a="1"/>
  <c r="F470" i="20" a="1"/>
  <c r="F335" i="20" a="1"/>
  <c r="F1711" i="20" a="1"/>
  <c r="F577" i="20" a="1"/>
  <c r="F111" i="20" a="1"/>
  <c r="F1973" i="20" a="1"/>
  <c r="F1730" i="20" a="1"/>
  <c r="F1143" i="20" a="1"/>
  <c r="F932" i="20" a="1"/>
  <c r="F1200" i="20" a="1"/>
  <c r="F1565" i="20" a="1"/>
  <c r="F472" i="20" a="1"/>
  <c r="F541" i="20" a="1"/>
  <c r="F1755" i="20" a="1"/>
  <c r="F1978" i="20" a="1"/>
  <c r="F2008" i="20" a="1"/>
  <c r="F1612" i="20" a="1"/>
  <c r="F380" i="20" a="1"/>
  <c r="F1483" i="20" a="1"/>
  <c r="F1494" i="20" a="1"/>
  <c r="F1762" i="20" a="1"/>
  <c r="F1552" i="20" a="1"/>
  <c r="F892" i="20" a="1"/>
  <c r="F1274" i="20" a="1"/>
  <c r="F1530" i="20" a="1"/>
  <c r="F218" i="20" a="1"/>
  <c r="F768" i="20" a="1"/>
  <c r="F262" i="20" a="1"/>
  <c r="F1853" i="20" a="1"/>
  <c r="F741" i="20" a="1"/>
  <c r="F1918" i="20" a="1"/>
  <c r="F375" i="20" a="1"/>
  <c r="F1130" i="20" a="1"/>
  <c r="F675" i="20" a="1"/>
  <c r="F1235" i="20" a="1"/>
  <c r="F895" i="20" a="1"/>
  <c r="F330" i="20" a="1"/>
  <c r="F2031" i="20" a="1"/>
  <c r="F1412" i="20" a="1"/>
  <c r="F1316" i="20" a="1"/>
  <c r="F1824" i="20" a="1"/>
  <c r="F1296" i="20" a="1"/>
  <c r="F1409" i="20" a="1"/>
  <c r="F655" i="20" a="1"/>
  <c r="F1898" i="20" a="1"/>
  <c r="F712" i="20" a="1"/>
  <c r="F1981" i="20" a="1"/>
  <c r="F623" i="20" a="1"/>
  <c r="F1488" i="20" a="1"/>
  <c r="F350" i="20" a="1"/>
  <c r="F357" i="20" a="1"/>
  <c r="F679" i="20" a="1"/>
  <c r="F314" i="20" a="1"/>
  <c r="F1368" i="20" a="1"/>
  <c r="F924" i="20" a="1"/>
  <c r="F1687" i="20" a="1"/>
  <c r="F1519" i="20" a="1"/>
  <c r="F1602" i="20" a="1"/>
  <c r="F1512" i="20" a="1"/>
  <c r="F940" i="20" a="1"/>
  <c r="F1194" i="20" a="1"/>
  <c r="F1745" i="20" a="1"/>
  <c r="F127" i="20" a="1"/>
  <c r="F780" i="20" a="1"/>
  <c r="F988" i="20" a="1"/>
  <c r="F1577" i="20" a="1"/>
  <c r="F346" i="20" a="1"/>
  <c r="F1864" i="20" a="1"/>
  <c r="F1309" i="20" a="1"/>
  <c r="F677" i="20" a="1"/>
  <c r="F862" i="20" a="1"/>
  <c r="F1589" i="20" a="1"/>
  <c r="F658" i="20" a="1"/>
  <c r="F1431" i="20" a="1"/>
  <c r="F1369" i="20" a="1"/>
  <c r="F1645" i="20" a="1"/>
  <c r="F917" i="20" a="1"/>
  <c r="F1008" i="20" a="1"/>
  <c r="F1122" i="20" a="1"/>
  <c r="F344" i="20" a="1"/>
  <c r="F222" i="20" a="1"/>
  <c r="F213" i="20" a="1"/>
  <c r="F1520" i="20" a="1"/>
  <c r="F1251" i="20" a="1"/>
  <c r="F590" i="20" a="1"/>
  <c r="F343" i="20" a="1"/>
  <c r="F185" i="20" a="1"/>
  <c r="F437" i="20" a="1"/>
  <c r="F140" i="20" a="1"/>
  <c r="F1091" i="20" a="1"/>
  <c r="F1032" i="20" a="1"/>
  <c r="F605" i="20" a="1"/>
  <c r="F1748" i="20" a="1"/>
  <c r="F713" i="20" a="1"/>
  <c r="F1297" i="20" a="1"/>
  <c r="F661" i="20" a="1"/>
  <c r="F1112" i="20" a="1"/>
  <c r="F255" i="20" a="1"/>
  <c r="F773" i="20" a="1"/>
  <c r="F1341" i="20" a="1"/>
  <c r="F1426" i="20" a="1"/>
  <c r="F158" i="20" a="1"/>
  <c r="F477" i="20" a="1"/>
  <c r="F165" i="20" a="1"/>
  <c r="F339" i="20" a="1"/>
  <c r="F422" i="20" a="1"/>
  <c r="F1721" i="20" a="1"/>
  <c r="F408" i="20" a="1"/>
  <c r="F813" i="20" a="1"/>
  <c r="F107" i="20" a="1"/>
  <c r="F1394" i="20" a="1"/>
  <c r="F961" i="20" a="1"/>
  <c r="F555" i="20" a="1"/>
  <c r="F1250" i="20" a="1"/>
  <c r="F1902" i="20" a="1"/>
  <c r="F1175" i="20" a="1"/>
  <c r="F1081" i="20" a="1"/>
  <c r="F1133" i="20" a="1"/>
  <c r="F16" i="20" a="1"/>
  <c r="F1230" i="20" a="1"/>
  <c r="F12" i="20" a="1"/>
  <c r="F494" i="20" a="1"/>
  <c r="F550" i="20" a="1"/>
  <c r="F2005" i="20" a="1"/>
  <c r="F1779" i="20" a="1"/>
  <c r="F28" i="20" a="1"/>
  <c r="F1786" i="20" a="1"/>
  <c r="F1522" i="20" a="1"/>
  <c r="F1069" i="20" a="1"/>
  <c r="F1174" i="20" a="1"/>
  <c r="F1160" i="20" a="1"/>
  <c r="F1479" i="20" a="1"/>
  <c r="F1890" i="20" a="1"/>
  <c r="F650" i="20" a="1"/>
  <c r="F162" i="20" a="1"/>
  <c r="F136" i="20" a="1"/>
  <c r="F1267" i="20" a="1"/>
  <c r="F1704" i="20" a="1"/>
  <c r="F1321" i="20" a="1"/>
  <c r="F1360" i="20" a="1"/>
  <c r="F1989" i="20" a="1"/>
  <c r="F1818" i="20" a="1"/>
  <c r="F292" i="20" a="1"/>
  <c r="F1204" i="20" a="1"/>
  <c r="F753" i="20" a="1"/>
  <c r="F615" i="20" a="1"/>
  <c r="F1246" i="20" a="1"/>
  <c r="F117" i="20" a="1"/>
  <c r="F83" i="20" a="1"/>
  <c r="F757" i="20" a="1"/>
  <c r="F1168" i="20" a="1"/>
  <c r="F563" i="20" a="1"/>
  <c r="F442" i="20" a="1"/>
  <c r="F1057" i="20" a="1"/>
  <c r="F1000" i="20" a="1"/>
  <c r="F46" i="20" a="1"/>
  <c r="F435" i="20" a="1"/>
  <c r="F232" i="20" a="1"/>
  <c r="F688" i="20" a="1"/>
  <c r="F1053" i="20" a="1"/>
  <c r="F955" i="20" a="1"/>
  <c r="F1126" i="20" a="1"/>
  <c r="F1919" i="20" a="1"/>
  <c r="F160" i="20" a="1"/>
  <c r="F417" i="20" a="1"/>
  <c r="F1807" i="20" a="1"/>
  <c r="F409" i="20" a="1"/>
  <c r="F29" i="20" a="1"/>
  <c r="F1551" i="20" a="1"/>
  <c r="F338" i="20" a="1"/>
  <c r="F1732" i="20" a="1"/>
  <c r="F81" i="20" a="1"/>
  <c r="F1498" i="20" a="1"/>
  <c r="F957" i="20" a="1"/>
  <c r="F1830" i="20" a="1"/>
  <c r="F1397" i="20" a="1"/>
  <c r="F654" i="20" a="1"/>
  <c r="F382" i="20" a="1"/>
  <c r="F1706" i="20" a="1"/>
  <c r="F1969" i="20" a="1"/>
  <c r="F45" i="20" a="1"/>
  <c r="F805" i="20" a="1"/>
  <c r="F1414" i="20" a="1"/>
  <c r="F973" i="20" a="1"/>
  <c r="F1559" i="20" a="1"/>
  <c r="F26" i="20" a="1"/>
  <c r="F1334" i="20" a="1"/>
  <c r="F1212" i="20" a="1"/>
  <c r="F1105" i="20" a="1"/>
  <c r="F220" i="20" a="1"/>
  <c r="F1646" i="20" a="1"/>
  <c r="F684" i="20" a="1"/>
  <c r="F697" i="20" a="1"/>
  <c r="F934" i="20" a="1"/>
  <c r="F730" i="20" a="1"/>
  <c r="F1862" i="20" a="1"/>
  <c r="F198" i="20" a="1"/>
  <c r="F1489" i="20" a="1"/>
  <c r="F2012" i="20" a="1"/>
  <c r="F2033" i="20" a="1"/>
  <c r="F1504" i="20" a="1"/>
  <c r="F264" i="20" a="1"/>
  <c r="F743" i="20" a="1"/>
  <c r="F184" i="20" a="1"/>
  <c r="F628" i="20" a="1"/>
  <c r="F1590" i="20" a="1"/>
  <c r="F1031" i="20" a="1"/>
  <c r="F1939" i="20" a="1"/>
  <c r="F993" i="20" a="1"/>
  <c r="F369" i="20" a="1"/>
  <c r="F1782" i="20" a="1"/>
  <c r="F826" i="20" a="1"/>
  <c r="F361" i="20" a="1"/>
  <c r="F1837" i="20" a="1"/>
  <c r="F251" i="20" a="1"/>
  <c r="F764" i="20" a="1"/>
  <c r="F1475" i="20" a="1"/>
  <c r="F1257" i="20" a="1"/>
  <c r="F1096" i="20" a="1"/>
  <c r="F299" i="20" a="1"/>
  <c r="F1526" i="20" a="1"/>
  <c r="F1847" i="20" a="1"/>
  <c r="F42" i="20" a="1"/>
  <c r="F166" i="20" a="1"/>
  <c r="F523" i="20" a="1"/>
  <c r="F760" i="20" a="1"/>
  <c r="F1048" i="20" a="1"/>
  <c r="F1337" i="20" a="1"/>
  <c r="F1268" i="20" a="1"/>
  <c r="F1903" i="20" a="1"/>
  <c r="F440" i="20" a="1"/>
  <c r="F38" i="20" a="1"/>
  <c r="F912" i="20" a="1"/>
  <c r="F1449" i="20" a="1"/>
  <c r="F1955" i="20" a="1"/>
  <c r="F49" i="20" a="1"/>
  <c r="F1389" i="20" a="1"/>
  <c r="F1578" i="20" a="1"/>
  <c r="F1065" i="20" a="1"/>
  <c r="F618" i="20" a="1"/>
  <c r="F385" i="20" a="1"/>
  <c r="F745" i="20" a="1"/>
  <c r="F1661" i="20" a="1"/>
  <c r="F60" i="20" a="1"/>
  <c r="F1999" i="20" a="1"/>
  <c r="F1561" i="20" a="1"/>
  <c r="F1496" i="20" a="1"/>
  <c r="F1264" i="20" a="1"/>
  <c r="F291" i="20" a="1"/>
  <c r="F905" i="20" a="1"/>
  <c r="F1241" i="20" a="1"/>
  <c r="F115" i="20" a="1"/>
  <c r="F1386" i="20" a="1"/>
  <c r="F1216" i="20" a="1"/>
  <c r="F528" i="20" a="1"/>
  <c r="F1221" i="20" a="1"/>
  <c r="F611" i="20" a="1"/>
  <c r="F864" i="20" a="1"/>
  <c r="F152" i="20" a="1"/>
  <c r="F1158" i="20" a="1"/>
  <c r="F838" i="20" a="1"/>
  <c r="F807" i="20" a="1"/>
  <c r="F1435" i="20" a="1"/>
  <c r="F999" i="20" a="1"/>
  <c r="F1926" i="20" a="1"/>
  <c r="F1322" i="20" a="1"/>
  <c r="F641" i="20" a="1"/>
  <c r="F451" i="20" a="1"/>
  <c r="F1708" i="20" a="1"/>
  <c r="F568" i="20" a="1"/>
  <c r="F465" i="20" a="1"/>
  <c r="F909" i="20" a="1"/>
  <c r="F1879" i="20" a="1"/>
  <c r="F1789" i="20" a="1"/>
  <c r="F2011" i="20" a="1"/>
  <c r="F495" i="20" a="1"/>
  <c r="F1710" i="20" a="1"/>
  <c r="F430" i="20" a="1"/>
  <c r="F1287" i="20" a="1"/>
  <c r="F1723" i="20" a="1"/>
  <c r="F88" i="20" a="1"/>
  <c r="F390" i="20" a="1"/>
  <c r="F150" i="20" a="1"/>
  <c r="F1213" i="20" a="1"/>
  <c r="F1093" i="20" a="1"/>
  <c r="F700" i="20" a="1"/>
  <c r="F1022" i="20" a="1"/>
  <c r="F44" i="20" a="1"/>
  <c r="F1220" i="20" a="1"/>
  <c r="F797" i="20" a="1"/>
  <c r="F1582" i="20" a="1"/>
  <c r="F951" i="20" a="1"/>
  <c r="F1419" i="20" a="1"/>
  <c r="F1153" i="20" a="1"/>
  <c r="F884" i="20" a="1"/>
  <c r="F502" i="20" a="1"/>
  <c r="F1700" i="20" a="1"/>
  <c r="F2037" i="20" a="1"/>
  <c r="F1453" i="20" a="1"/>
  <c r="F446" i="20" a="1"/>
  <c r="F1679" i="20" a="1"/>
  <c r="F1484" i="20" a="1"/>
  <c r="F1564" i="20" a="1"/>
  <c r="F1793" i="20" a="1"/>
  <c r="F601" i="20" a="1"/>
  <c r="F1201" i="20" a="1"/>
  <c r="F2046" i="20" a="1"/>
  <c r="F1667" i="20" a="1"/>
  <c r="F89" i="20" a="1"/>
  <c r="F707" i="20" a="1"/>
  <c r="F275" i="20" a="1"/>
  <c r="F750" i="20" a="1"/>
  <c r="F1728" i="20" a="1"/>
  <c r="F141" i="20" a="1"/>
  <c r="F429" i="20" a="1"/>
  <c r="F1630" i="20" a="1"/>
  <c r="F1799" i="20" a="1"/>
  <c r="F352" i="20" a="1"/>
  <c r="F1574" i="20" a="1"/>
  <c r="F548" i="20" a="1"/>
  <c r="F1538" i="20" a="1"/>
  <c r="F2044" i="20" a="1"/>
  <c r="F1781" i="20" a="1"/>
  <c r="F108" i="20" a="1"/>
  <c r="F128" i="20" a="1"/>
  <c r="F360" i="20" a="1"/>
  <c r="F1713" i="20" a="1"/>
  <c r="F2020" i="20" a="1"/>
  <c r="F1676" i="20" a="1"/>
  <c r="F267" i="20" a="1"/>
  <c r="F910" i="20" a="1"/>
  <c r="F219" i="20" a="1"/>
  <c r="F1976" i="20" a="1"/>
  <c r="F1826" i="20" a="1"/>
  <c r="F349" i="20" a="1"/>
  <c r="F36" i="20" a="1"/>
  <c r="F282" i="20" a="1"/>
  <c r="F908" i="20" a="1"/>
  <c r="F367" i="20" a="1"/>
  <c r="F1140" i="20" a="1"/>
  <c r="F1913" i="20" a="1"/>
  <c r="F2010" i="20" a="1"/>
  <c r="F1145" i="20" a="1"/>
  <c r="F597" i="20" a="1"/>
  <c r="F489" i="20" a="1"/>
  <c r="F931" i="20" a="1"/>
  <c r="F113" i="20" a="1"/>
  <c r="F1497" i="20" a="1"/>
  <c r="F1348" i="20" a="1"/>
  <c r="F322" i="20" a="1"/>
  <c r="F461" i="20" a="1"/>
  <c r="F366" i="20" a="1"/>
  <c r="F482" i="20" a="1"/>
  <c r="F1154" i="20" a="1"/>
  <c r="F174" i="20" a="1"/>
  <c r="F1508" i="20" a="1"/>
  <c r="F1801" i="20" a="1"/>
  <c r="F980" i="20" a="1"/>
  <c r="F747" i="20" a="1"/>
  <c r="F1828" i="20" a="1"/>
  <c r="F1683" i="20" a="1"/>
  <c r="F223" i="20" a="1"/>
  <c r="F534" i="20" a="1"/>
  <c r="F1539" i="20" a="1"/>
  <c r="F288" i="20" a="1"/>
  <c r="F1443" i="20" a="1"/>
  <c r="F1716" i="20" a="1"/>
  <c r="F952" i="20" a="1"/>
  <c r="F1584" i="20" a="1"/>
  <c r="F1452" i="20" a="1"/>
  <c r="F206" i="20" a="1"/>
  <c r="F75" i="20" a="1"/>
  <c r="F1377" i="20" a="1"/>
  <c r="F1234" i="20" a="1"/>
  <c r="F616" i="20" a="1"/>
  <c r="F1042" i="20" a="1"/>
  <c r="F116" i="20" a="1"/>
  <c r="F1157" i="20" a="1"/>
  <c r="F1677" i="20" a="1"/>
  <c r="F1917" i="20" a="1"/>
  <c r="F467" i="20" a="1"/>
  <c r="F899" i="20" a="1"/>
  <c r="F1110" i="20" a="1"/>
  <c r="F480" i="20" a="1"/>
  <c r="F1750" i="20" a="1"/>
  <c r="F799" i="20" a="1"/>
  <c r="F945" i="20" a="1"/>
  <c r="F1792" i="20" a="1"/>
  <c r="F1878" i="20" a="1"/>
  <c r="F340" i="20" a="1"/>
  <c r="F126" i="20" a="1"/>
  <c r="F1532" i="20" a="1"/>
  <c r="F396" i="20" a="1"/>
  <c r="F886" i="20" a="1"/>
  <c r="F1870" i="20" a="1"/>
  <c r="F1928" i="20" a="1"/>
  <c r="F2018" i="20" a="1"/>
  <c r="F1375" i="20" a="1"/>
  <c r="F1464" i="20" a="1"/>
  <c r="F1851" i="20" a="1"/>
  <c r="F1948" i="20" a="1"/>
  <c r="F236" i="20" a="1"/>
  <c r="F1652" i="20" a="1"/>
  <c r="F2048" i="20" a="1"/>
  <c r="F103" i="20" a="1"/>
  <c r="F1511" i="20" a="1"/>
  <c r="F629" i="20" a="1"/>
  <c r="F172" i="20" a="1"/>
  <c r="F1089" i="20" a="1"/>
  <c r="F664" i="20" a="1"/>
  <c r="F1844" i="20" a="1"/>
  <c r="F1189" i="20" a="1"/>
  <c r="F825" i="20" a="1"/>
  <c r="F1751" i="20" a="1"/>
  <c r="F25" i="20" a="1"/>
  <c r="F1085" i="20" a="1"/>
  <c r="F398" i="20" a="1"/>
  <c r="F1252" i="20" a="1"/>
  <c r="F820" i="20" a="1"/>
  <c r="F1028" i="20" a="1"/>
  <c r="F1283" i="20" a="1"/>
  <c r="F1990" i="20" a="1"/>
  <c r="F566" i="20" a="1"/>
  <c r="F2004" i="20" a="1"/>
  <c r="F887" i="20" a="1"/>
  <c r="F1581" i="20" a="1"/>
  <c r="F22" i="20" a="1"/>
  <c r="F575" i="20" a="1"/>
  <c r="F399" i="20" a="1"/>
  <c r="F1849" i="20" a="1"/>
  <c r="F583" i="20" a="1"/>
  <c r="F1644" i="20" a="1"/>
  <c r="F1580" i="20" a="1"/>
  <c r="F1332" i="20" a="1"/>
  <c r="F1117" i="20" a="1"/>
  <c r="F21" i="20" a="1"/>
  <c r="F551" i="20" a="1"/>
  <c r="F877" i="20" a="1"/>
  <c r="F1188" i="20" a="1"/>
  <c r="F809" i="20" a="1"/>
  <c r="F819" i="20" a="1"/>
  <c r="F1391" i="20" a="1"/>
  <c r="F462" i="20" a="1"/>
  <c r="F328" i="20" a="1"/>
  <c r="F1821" i="20" a="1"/>
  <c r="F204" i="20" a="1"/>
  <c r="F774" i="20" a="1"/>
  <c r="F490" i="20" a="1"/>
  <c r="F146" i="20" a="1"/>
  <c r="F1951" i="20" a="1"/>
  <c r="F1491" i="20" a="1"/>
  <c r="F1165" i="20" a="1"/>
  <c r="F356" i="20" a="1"/>
  <c r="F946" i="20" a="1"/>
  <c r="F699" i="20" a="1"/>
  <c r="F8" i="20" a="1"/>
  <c r="F761" i="20" a="1"/>
  <c r="F1784" i="20" a="1"/>
  <c r="F1886" i="20" a="1"/>
  <c r="F979" i="20" a="1"/>
  <c r="F1769" i="20" a="1"/>
  <c r="F221" i="20" a="1"/>
  <c r="F1041" i="20" a="1"/>
  <c r="F739" i="20" a="1"/>
  <c r="F161" i="20" a="1"/>
  <c r="F1859" i="20" a="1"/>
  <c r="F1764" i="20" a="1"/>
  <c r="F1911" i="20" a="1"/>
  <c r="F304" i="20" a="1"/>
  <c r="F834" i="20" a="1"/>
  <c r="F230" i="20" a="1"/>
  <c r="F76" i="20" a="1"/>
  <c r="F1717" i="20" a="1"/>
  <c r="F191" i="20" a="1"/>
  <c r="F1077" i="20" a="1"/>
  <c r="F776" i="20" a="1"/>
  <c r="F659" i="20" a="1"/>
  <c r="F7" i="20" a="1"/>
  <c r="F1319" i="20" a="1"/>
  <c r="F702" i="20" a="1"/>
  <c r="F1467" i="20" a="1"/>
  <c r="F1603" i="20" a="1"/>
  <c r="F1754" i="20" a="1"/>
  <c r="F703" i="20" a="1"/>
  <c r="F306" i="20" a="1"/>
  <c r="F852" i="20" a="1"/>
  <c r="F720" i="20" a="1"/>
  <c r="F1272" i="20" a="1"/>
  <c r="F2036" i="20" a="1"/>
  <c r="F1066" i="20" a="1"/>
  <c r="F1141" i="20" a="1"/>
  <c r="F593" i="20" a="1"/>
  <c r="F261" i="20" a="1"/>
  <c r="F194" i="20" a="1"/>
  <c r="F66" i="20" a="1"/>
  <c r="F994" i="20" a="1"/>
  <c r="F1135" i="20" a="1"/>
  <c r="F1051" i="20" a="1"/>
  <c r="F647" i="20" a="1"/>
  <c r="F726" i="20" a="1"/>
  <c r="F1697" i="20" a="1"/>
  <c r="F1320" i="20" a="1"/>
  <c r="F882" i="20" a="1"/>
  <c r="F1910" i="20" a="1"/>
  <c r="F535" i="20" a="1"/>
  <c r="F791" i="20" a="1"/>
  <c r="F13" i="20" a="1"/>
  <c r="F10" i="20" a="1"/>
  <c r="F879" i="20" a="1"/>
  <c r="F178" i="20" a="1"/>
  <c r="F1619" i="20" a="1"/>
  <c r="F1616" i="20" a="1"/>
  <c r="F31" i="20" a="1"/>
  <c r="F1888" i="20" a="1"/>
  <c r="F1104" i="20" a="1"/>
  <c r="F260" i="20" a="1"/>
  <c r="F1573" i="20" a="1"/>
  <c r="F476" i="20" a="1"/>
  <c r="F1640" i="20" a="1"/>
  <c r="F1649" i="20" a="1"/>
  <c r="F1330" i="20" a="1"/>
  <c r="F2017" i="20" a="1"/>
  <c r="F182" i="20" a="1"/>
  <c r="F325" i="20" a="1"/>
  <c r="F978" i="20" a="1"/>
  <c r="F1413" i="20" a="1"/>
  <c r="F74" i="20" a="1"/>
  <c r="F746" i="20" a="1"/>
  <c r="F913" i="20" a="1"/>
  <c r="F756" i="20" a="1"/>
  <c r="F1439" i="20" a="1"/>
  <c r="F1118" i="20" a="1"/>
  <c r="F1977" i="20" a="1"/>
  <c r="F400" i="20" a="1"/>
  <c r="F1905" i="20" a="1"/>
  <c r="F1541" i="20" a="1"/>
  <c r="F1441" i="20" a="1"/>
  <c r="F2001" i="20" a="1"/>
  <c r="F1626" i="20" a="1"/>
  <c r="F540" i="20" a="1"/>
  <c r="F1142" i="20" a="1"/>
  <c r="F872" i="20" a="1"/>
  <c r="F90" i="20" a="1"/>
  <c r="F646" i="20" a="1"/>
  <c r="F1151" i="20" a="1"/>
  <c r="F1196" i="20" a="1"/>
  <c r="F73" i="20" a="1"/>
  <c r="F916" i="20" a="1"/>
  <c r="F1529" i="20" a="1"/>
  <c r="F781" i="20" a="1"/>
  <c r="F1968" i="20" a="1"/>
  <c r="F758" i="20" a="1"/>
  <c r="F1473" i="20" a="1"/>
  <c r="F904" i="20" a="1"/>
  <c r="F885" i="20" a="1"/>
  <c r="F1237" i="20" a="1"/>
  <c r="F997" i="20" a="1"/>
  <c r="F1059" i="20" a="1"/>
  <c r="F1555" i="20" a="1"/>
  <c r="F1050" i="20" a="1"/>
  <c r="F1279" i="20" a="1"/>
  <c r="F40" i="20" a="1"/>
  <c r="F1433" i="20" a="1"/>
  <c r="F370" i="20" a="1"/>
  <c r="F1962" i="20" a="1"/>
  <c r="F227" i="20" a="1"/>
  <c r="F1546" i="20" a="1"/>
  <c r="F1877" i="20" a="1"/>
  <c r="F1743" i="20" a="1"/>
  <c r="F594" i="20" a="1"/>
  <c r="F859" i="20" a="1"/>
  <c r="F358" i="20" a="1"/>
  <c r="F345" i="20" a="1"/>
  <c r="F1914" i="20" a="1"/>
  <c r="F1033" i="20" a="1"/>
  <c r="F496" i="20" a="1"/>
  <c r="F1528" i="20" a="1"/>
  <c r="F1904" i="20" a="1"/>
  <c r="F280" i="20" a="1"/>
  <c r="F1686" i="20" a="1"/>
  <c r="F693" i="20" a="1"/>
  <c r="F301" i="20" a="1"/>
  <c r="F984" i="20" a="1"/>
  <c r="F389" i="20" a="1"/>
  <c r="F1115" i="20" a="1"/>
  <c r="F231" i="20" a="1"/>
  <c r="F967" i="20" a="1"/>
  <c r="F1095" i="20" a="1"/>
  <c r="F121" i="20" a="1"/>
  <c r="F960" i="20" a="1"/>
  <c r="F1429" i="20" a="1"/>
  <c r="F1421" i="20" a="1"/>
  <c r="F170" i="20" a="1"/>
  <c r="F901" i="20" a="1"/>
  <c r="F848" i="20" a="1"/>
  <c r="F1569" i="20" a="1"/>
  <c r="F689" i="20" a="1"/>
  <c r="F1327" i="20" a="1"/>
  <c r="F989" i="20" a="1"/>
  <c r="F1436" i="20" a="1"/>
  <c r="F1527" i="20" a="1"/>
  <c r="F413" i="20" a="1"/>
  <c r="F241" i="20" a="1"/>
  <c r="F159" i="20" a="1"/>
  <c r="F1567" i="20" a="1"/>
  <c r="F294" i="20" a="1"/>
  <c r="F998" i="20" a="1"/>
  <c r="F1856" i="20" a="1"/>
  <c r="F1455" i="20" a="1"/>
  <c r="F1304" i="20" a="1"/>
  <c r="F1314" i="20" a="1"/>
  <c r="F475" i="20" a="1"/>
  <c r="F1192" i="20" a="1"/>
  <c r="F1346" i="20" a="1"/>
  <c r="F1064" i="20" a="1"/>
  <c r="F285" i="20" a="1"/>
  <c r="F947" i="20" a="1"/>
  <c r="F1674" i="20" a="1"/>
  <c r="F1922" i="20" a="1"/>
  <c r="F427" i="20" a="1"/>
  <c r="F1046" i="20" a="1"/>
  <c r="F990" i="20" a="1"/>
  <c r="F983" i="20" a="1"/>
  <c r="F1223" i="20" a="1"/>
  <c r="F463" i="20" a="1"/>
  <c r="F943" i="20" a="1"/>
  <c r="F15" i="20" a="1"/>
  <c r="F235" i="20" a="1"/>
  <c r="F1682" i="20" a="1"/>
  <c r="F617" i="20" a="1"/>
  <c r="F387" i="20" a="1"/>
  <c r="F1611" i="20" a="1"/>
  <c r="F1901" i="20" a="1"/>
  <c r="F1376" i="20" a="1"/>
  <c r="F145" i="20" a="1"/>
  <c r="F926" i="20" a="1"/>
  <c r="F1689" i="20" a="1"/>
  <c r="F2013" i="20" a="1"/>
  <c r="F842" i="20" a="1"/>
  <c r="F309" i="20" a="1"/>
  <c r="F696" i="20" a="1"/>
  <c r="F1860" i="20" a="1"/>
  <c r="F1281" i="20" a="1"/>
  <c r="F1557" i="20" a="1"/>
  <c r="F1007" i="20" a="1"/>
  <c r="F1280" i="20" a="1"/>
  <c r="F1342" i="20" a="1"/>
  <c r="F1780" i="20" a="1"/>
  <c r="F539" i="20" a="1"/>
  <c r="F431" i="20" a="1"/>
  <c r="F1867" i="20" a="1"/>
  <c r="F1248" i="20" a="1"/>
  <c r="F816" i="20" a="1"/>
  <c r="F1090" i="20" a="1"/>
  <c r="F1734" i="20" a="1"/>
  <c r="F112" i="20" a="1"/>
  <c r="F1915" i="20" a="1"/>
  <c r="F769" i="20" a="1"/>
  <c r="F995" i="20" a="1"/>
  <c r="F986" i="20" a="1"/>
  <c r="F1132" i="20" a="1"/>
  <c r="F77" i="20" a="1"/>
  <c r="F1947" i="20" a="1"/>
  <c r="F5" i="20" a="1"/>
  <c r="F1016" i="20" a="1"/>
  <c r="F788" i="20" a="1"/>
  <c r="F865" i="20" a="1"/>
  <c r="F1812" i="20" a="1"/>
  <c r="F836" i="20" a="1"/>
  <c r="F1660" i="20" a="1"/>
  <c r="F139" i="20" a="1"/>
  <c r="F635" i="20" a="1"/>
  <c r="F1058" i="20" a="1"/>
  <c r="F1219" i="20" a="1"/>
  <c r="F1650" i="20" a="1"/>
  <c r="F1075" i="20" a="1"/>
  <c r="F1622" i="20" a="1"/>
  <c r="F1724" i="20" a="1"/>
  <c r="F1624" i="20" a="1"/>
  <c r="F578" i="20" a="1"/>
  <c r="F644" i="20" a="1"/>
  <c r="F1395" i="20" a="1"/>
  <c r="F1908" i="20" a="1"/>
  <c r="F395" i="20" a="1"/>
  <c r="F341" i="20" a="1"/>
  <c r="F1405" i="20" a="1"/>
  <c r="F61" i="20" a="1"/>
  <c r="F402" i="20" a="1"/>
  <c r="F11" i="20" a="1"/>
  <c r="F1825" i="20" a="1"/>
  <c r="F1040" i="20" a="1"/>
  <c r="F1970" i="20" a="1"/>
  <c r="F1315" i="20" a="1"/>
  <c r="F210" i="20" a="1"/>
  <c r="F919" i="20" a="1"/>
  <c r="F226" i="20" a="1"/>
  <c r="F1675" i="20" a="1"/>
  <c r="F851" i="20" a="1"/>
  <c r="F1900" i="20" a="1"/>
  <c r="F229" i="20" a="1"/>
  <c r="F1203" i="20" a="1"/>
  <c r="F1684" i="20" a="1"/>
  <c r="F404" i="20" a="1"/>
  <c r="F546" i="20" a="1"/>
  <c r="F484" i="20" a="1"/>
  <c r="F2022" i="20" a="1"/>
  <c r="F1596" i="20" a="1"/>
  <c r="F30" i="20" a="1"/>
  <c r="F1836" i="20" a="1"/>
  <c r="F1098" i="20" a="1"/>
  <c r="F598" i="20" a="1"/>
  <c r="F914" i="20" a="1"/>
  <c r="F1317" i="20" a="1"/>
  <c r="F1845" i="20" a="1"/>
  <c r="F1536" i="20" a="1"/>
  <c r="F378" i="20" a="1"/>
  <c r="F1106" i="20" a="1"/>
  <c r="F1892" i="20" a="1"/>
  <c r="F488" i="20" a="1"/>
  <c r="F922" i="20" a="1"/>
  <c r="F253" i="20" a="1"/>
  <c r="F603" i="20" a="1"/>
  <c r="F1079" i="20" a="1"/>
  <c r="F1642" i="20" a="1"/>
  <c r="F1239" i="20" a="1"/>
  <c r="F1217" i="20" a="1"/>
  <c r="F855" i="20" a="1"/>
  <c r="F1423" i="20" a="1"/>
  <c r="F1516" i="20" a="1"/>
  <c r="F1893" i="20" a="1"/>
  <c r="F2003" i="20" a="1"/>
  <c r="F310" i="20" a="1"/>
  <c r="F454" i="20" a="1"/>
  <c r="F1417" i="20" a="1"/>
  <c r="F1889" i="20" a="1"/>
  <c r="F154" i="20" a="1"/>
  <c r="F1884" i="20" a="1"/>
  <c r="F802" i="20" a="1"/>
  <c r="F503" i="20" a="1"/>
  <c r="F1950" i="20" a="1"/>
  <c r="F2025" i="20" a="1"/>
  <c r="F1742" i="20" a="1"/>
  <c r="F1013" i="20" a="1"/>
  <c r="F1284" i="20" a="1"/>
  <c r="F1499" i="20" a="1"/>
  <c r="F1570" i="20" a="1"/>
  <c r="F755" i="20" a="1"/>
  <c r="F363" i="20" a="1"/>
  <c r="F770" i="20" a="1"/>
  <c r="F506" i="20" a="1"/>
  <c r="F93" i="20" a="1"/>
  <c r="F1094" i="20" a="1"/>
  <c r="F1266" i="20" a="1"/>
  <c r="F17" i="20" a="1"/>
  <c r="F1340" i="20" a="1"/>
  <c r="F59" i="20" a="1"/>
  <c r="F1613" i="20" a="1"/>
  <c r="F2030" i="20" a="1"/>
  <c r="F1568" i="20" a="1"/>
  <c r="F1038" i="20" a="1"/>
  <c r="F120" i="20" a="1"/>
  <c r="F1440" i="20" a="1"/>
  <c r="F1010" i="20" a="1"/>
  <c r="F673" i="20" a="1"/>
  <c r="F854" i="20" a="1"/>
  <c r="F1111" i="20" a="1"/>
  <c r="F793" i="20" a="1"/>
  <c r="F1692" i="20" a="1"/>
  <c r="F514" i="20" a="1"/>
  <c r="F868" i="20" a="1"/>
  <c r="F1121" i="20" a="1"/>
  <c r="F1187" i="20" a="1"/>
  <c r="F742" i="20" a="1"/>
  <c r="F187" i="20" a="1"/>
  <c r="F85" i="20" a="1"/>
  <c r="F1537" i="20" a="1"/>
  <c r="F1544" i="20" a="1"/>
  <c r="F374" i="20" a="1"/>
  <c r="F1819" i="20" a="1"/>
  <c r="F1029" i="20" a="1"/>
  <c r="F1043" i="20" a="1"/>
  <c r="F1437" i="20" a="1"/>
  <c r="F18" i="20" a="1"/>
  <c r="F1469" i="20" a="1"/>
  <c r="F1471" i="20" a="1"/>
  <c r="F1275" i="20" a="1"/>
  <c r="F1822" i="20" a="1"/>
  <c r="F1883" i="20" a="1"/>
  <c r="F708" i="20" a="1"/>
  <c r="F835" i="20" a="1"/>
  <c r="F1446" i="20" a="1"/>
  <c r="F1673" i="20" a="1"/>
  <c r="F666" i="20" a="1"/>
  <c r="F1744" i="20" a="1"/>
  <c r="F247" i="20" a="1"/>
  <c r="F1372" i="20" a="1"/>
  <c r="F1988" i="20" a="1"/>
  <c r="F1509" i="20" a="1"/>
  <c r="F643" i="20" a="1"/>
  <c r="F630" i="20" a="1"/>
  <c r="F1366" i="20" a="1"/>
  <c r="F1078" i="20" a="1"/>
  <c r="F1820" i="20" a="1"/>
  <c r="F744" i="20" a="1"/>
  <c r="F238" i="20" a="1"/>
  <c r="F762" i="20" a="1"/>
  <c r="F1004" i="20" a="1"/>
  <c r="F1887" i="20" a="1"/>
  <c r="F1963" i="20" a="1"/>
  <c r="F1554" i="20" a="1"/>
  <c r="F1432" i="20" a="1"/>
  <c r="F1632" i="20" a="1"/>
  <c r="F286" i="20" a="1"/>
  <c r="F1176" i="20" a="1"/>
  <c r="F1224" i="20" a="1"/>
  <c r="F1571" i="20" a="1"/>
  <c r="F1983" i="20" a="1"/>
  <c r="F1604" i="20" a="1"/>
  <c r="F1014" i="20" a="1"/>
  <c r="F817" i="20" a="1"/>
  <c r="F1935" i="20" a="1"/>
  <c r="F1621" i="20" a="1"/>
  <c r="F733" i="20" a="1"/>
  <c r="F1211" i="20" a="1"/>
  <c r="F19" i="20" a="1"/>
  <c r="F242" i="20" a="1"/>
  <c r="F52" i="20" a="1"/>
  <c r="F1647" i="20" a="1"/>
  <c r="F1517" i="20" a="1"/>
  <c r="F1874" i="20" a="1"/>
  <c r="F2007" i="20" a="1"/>
  <c r="F1610" i="20" a="1"/>
  <c r="F384" i="20" a="1"/>
  <c r="F525" i="20" a="1"/>
  <c r="F1835" i="20" a="1"/>
  <c r="F119" i="20" a="1"/>
  <c r="F1872" i="20" a="1"/>
  <c r="F1062" i="20" a="1"/>
  <c r="F516" i="20" a="1"/>
  <c r="F347" i="20" a="1"/>
  <c r="F1753" i="20" a="1"/>
  <c r="F2000" i="20" a="1"/>
  <c r="F1123" i="20" a="1"/>
  <c r="F830" i="20" a="1"/>
  <c r="F1547" i="20" a="1"/>
  <c r="F714" i="20" a="1"/>
  <c r="F866" i="20" a="1"/>
  <c r="F1052" i="20" a="1"/>
  <c r="F674" i="20" a="1"/>
  <c r="F602" i="20" a="1"/>
  <c r="F479" i="20" a="1"/>
  <c r="F1183" i="20" a="1"/>
  <c r="F1501" i="20" a="1"/>
  <c r="F1331" i="20" a="1"/>
  <c r="F1144" i="20" a="1"/>
  <c r="F279" i="20" a="1"/>
  <c r="F906" i="20" a="1"/>
  <c r="F759" i="20" a="1"/>
  <c r="F1794" i="20" a="1"/>
  <c r="F1378" i="20" a="1"/>
  <c r="F47" i="20" a="1"/>
  <c r="F520" i="20" a="1"/>
  <c r="F1329" i="20" a="1"/>
  <c r="F571" i="20" a="1"/>
  <c r="F991" i="20" a="1"/>
  <c r="F1803" i="20" a="1"/>
  <c r="F933" i="20" a="1"/>
  <c r="F553" i="20" a="1"/>
  <c r="F1633" i="20" a="1"/>
  <c r="F850" i="20" a="1"/>
  <c r="F57" i="20" a="1"/>
  <c r="F705" i="20" a="1"/>
  <c r="F789" i="20" a="1"/>
  <c r="F963" i="20" a="1"/>
  <c r="F1025" i="20" a="1"/>
  <c r="F1493" i="20" a="1"/>
  <c r="F1173" i="20" a="1"/>
  <c r="F1991" i="20" a="1"/>
  <c r="F4" i="20" a="1"/>
  <c r="F1184" i="20" a="1"/>
  <c r="F2043" i="20" a="1"/>
  <c r="F800" i="20" a="1"/>
  <c r="F323" i="20" a="1"/>
  <c r="F536" i="20" a="1"/>
  <c r="F1197" i="20" a="1"/>
  <c r="F373" i="20" a="1"/>
  <c r="F110" i="20" a="1"/>
  <c r="F1387" i="20" a="1"/>
  <c r="F348" i="20" a="1"/>
  <c r="F966" i="20" a="1"/>
  <c r="F287" i="20" a="1"/>
  <c r="F91" i="20" a="1"/>
  <c r="F114" i="20" a="1"/>
  <c r="F1945" i="20" a="1"/>
  <c r="F354" i="20" a="1"/>
  <c r="F246" i="20" a="1"/>
  <c r="F96" i="20" a="1"/>
  <c r="F609" i="20" a="1"/>
  <c r="F992" i="20" a="1"/>
  <c r="F1535" i="20" a="1"/>
  <c r="F1056" i="20" a="1"/>
  <c r="F1011" i="20" a="1"/>
  <c r="F1347" i="20" a="1"/>
  <c r="F1415" i="20" a="1"/>
  <c r="F1940" i="20" a="1"/>
  <c r="F956" i="20" a="1"/>
  <c r="F1637" i="20" a="1"/>
  <c r="F1609" i="20" a="1"/>
  <c r="F1193" i="20" a="1"/>
  <c r="F1044" i="20" a="1"/>
  <c r="F857" i="20" a="1"/>
  <c r="F1984" i="20" a="1"/>
  <c r="F276" i="20" a="1"/>
  <c r="F1288" i="20" a="1"/>
  <c r="F1447" i="20" a="1"/>
  <c r="F100" i="20" a="1"/>
  <c r="F2019" i="20" a="1"/>
  <c r="F632" i="20" a="1"/>
  <c r="F1301" i="20" a="1"/>
  <c r="F1756" i="20" a="1"/>
  <c r="F1178" i="20" a="1"/>
  <c r="F1798" i="20" a="1"/>
  <c r="F326" i="20" a="1"/>
  <c r="F1256" i="20" a="1"/>
  <c r="F1120" i="20" a="1"/>
  <c r="F1931" i="20" a="1"/>
  <c r="F499" i="20" a="1"/>
  <c r="F1768" i="20" a="1"/>
  <c r="F1396" i="20" a="1"/>
  <c r="F249" i="20" a="1"/>
  <c r="F1451" i="20" a="1"/>
  <c r="F268" i="20" a="1"/>
  <c r="F364" i="20" a="1"/>
  <c r="F1461" i="20" a="1"/>
  <c r="F1804" i="20" a="1"/>
  <c r="F1349" i="20" a="1"/>
  <c r="F1468" i="20" a="1"/>
  <c r="F1906" i="20" a="1"/>
  <c r="F2029" i="20" a="1"/>
  <c r="F1618" i="20" a="1"/>
  <c r="F426" i="20" a="1"/>
  <c r="F556" i="20" a="1"/>
  <c r="F1932" i="20" a="1"/>
  <c r="F1771" i="20" a="1"/>
  <c r="F949" i="20" a="1"/>
  <c r="F56" i="20" a="1"/>
  <c r="F329" i="20" a="1"/>
  <c r="F311" i="20" a="1"/>
  <c r="F651" i="20" a="1"/>
  <c r="F524" i="20" a="1"/>
  <c r="F1758" i="20" a="1"/>
  <c r="F1791" i="20" a="1"/>
  <c r="F1445" i="20" a="1"/>
  <c r="F1352" i="20" a="1"/>
  <c r="F619" i="20" a="1"/>
  <c r="F692" i="20" a="1"/>
  <c r="F1653" i="20" a="1"/>
  <c r="F478" i="20" a="1"/>
  <c r="F1448" i="20" a="1"/>
  <c r="F1727" i="20" a="1"/>
  <c r="F1974" i="20" a="1"/>
  <c r="F844" i="20" a="1"/>
  <c r="F532" i="20" a="1"/>
  <c r="F716" i="20" a="1"/>
  <c r="F562" i="20" a="1"/>
  <c r="F51" i="20" a="1"/>
  <c r="F1562" i="20" a="1"/>
  <c r="F660" i="20" a="1"/>
  <c r="F522" i="20" a="1"/>
  <c r="F621" i="20" a="1"/>
  <c r="F537" i="20" a="1"/>
  <c r="F1148" i="20" a="1"/>
  <c r="F1102" i="20" a="1"/>
  <c r="F6" i="20" a="1"/>
  <c r="F839" i="20" a="1"/>
  <c r="F1601" i="20" a="1"/>
  <c r="F1896" i="20" a="1"/>
  <c r="F1073" i="20" a="1"/>
  <c r="F234" i="20" a="1"/>
  <c r="F614" i="20" a="1"/>
  <c r="F538" i="20" a="1"/>
  <c r="F1796" i="20" a="1"/>
  <c r="F948" i="20" a="1"/>
  <c r="F405" i="20" a="1"/>
  <c r="F1198" i="20" a="1"/>
  <c r="F586" i="20" a="1"/>
  <c r="F890" i="20" a="1"/>
  <c r="F1693" i="20" a="1"/>
  <c r="F284" i="20" a="1"/>
  <c r="F318" i="20" a="1"/>
  <c r="F792" i="20" a="1"/>
  <c r="F1641" i="20" a="1"/>
  <c r="F1134" i="20" a="1"/>
  <c r="F1060" i="20" a="1"/>
  <c r="F1558" i="20" a="1"/>
  <c r="F927" i="20" a="1"/>
  <c r="F1810" i="20" a="1"/>
  <c r="F1921" i="20" a="1"/>
  <c r="F1549" i="20" a="1"/>
  <c r="F214" i="20" a="1"/>
  <c r="F448" i="20" a="1"/>
  <c r="F37" i="20" a="1"/>
  <c r="F1809" i="20" a="1"/>
  <c r="F2040" i="20" a="1"/>
  <c r="F1227" i="20" a="1"/>
  <c r="F1985" i="20" a="1"/>
  <c r="F1680" i="20" a="1"/>
  <c r="F1736" i="20" a="1"/>
  <c r="F1249" i="20" a="1"/>
  <c r="F801" i="20" a="1"/>
  <c r="F1466" i="20" a="1"/>
  <c r="F1068" i="20" a="1"/>
  <c r="F706" i="20" a="1"/>
  <c r="F1868" i="20" a="1"/>
  <c r="F240" i="20" a="1"/>
  <c r="F359" i="20" a="1"/>
  <c r="F274" i="20" a="1"/>
  <c r="F393" i="20" a="1"/>
  <c r="F1393" i="20" a="1"/>
  <c r="B10" i="17" l="1"/>
  <c r="D10" i="17" s="1"/>
  <c r="C11" i="17"/>
  <c r="F20" i="1"/>
  <c r="F22" i="1"/>
  <c r="F17" i="1"/>
  <c r="F8" i="1"/>
  <c r="F30" i="1"/>
  <c r="F25" i="1"/>
  <c r="F16" i="1"/>
  <c r="F43" i="1"/>
  <c r="F10" i="1"/>
  <c r="F39" i="1"/>
  <c r="F24" i="1"/>
  <c r="F6" i="1"/>
  <c r="F12" i="1"/>
  <c r="F40" i="1"/>
  <c r="F37" i="1"/>
  <c r="F18" i="1"/>
  <c r="F26" i="1"/>
  <c r="F14" i="1"/>
  <c r="F33" i="1"/>
  <c r="F19" i="1"/>
  <c r="F7" i="1"/>
  <c r="F46" i="1"/>
  <c r="J46" i="1" s="1"/>
  <c r="F36" i="1"/>
  <c r="F45" i="1"/>
  <c r="F41" i="1"/>
  <c r="F32" i="1"/>
  <c r="F44" i="1"/>
  <c r="F5" i="1"/>
  <c r="F38" i="1"/>
  <c r="F21" i="1"/>
  <c r="F34" i="1"/>
  <c r="J45" i="1" s="1"/>
  <c r="F13" i="1"/>
  <c r="F23" i="1"/>
  <c r="F29" i="1"/>
  <c r="F11" i="1"/>
  <c r="F28" i="1"/>
  <c r="F35" i="1"/>
  <c r="F31" i="1"/>
  <c r="I8" i="20"/>
  <c r="J8" i="20"/>
  <c r="H8" i="20"/>
  <c r="K7" i="20"/>
  <c r="E44" i="16"/>
  <c r="H1" i="16"/>
  <c r="C1" i="16"/>
  <c r="F67" i="20"/>
  <c r="F75" i="20"/>
  <c r="F77" i="20"/>
  <c r="F62" i="20"/>
  <c r="F76" i="20"/>
  <c r="F70" i="20"/>
  <c r="F65" i="20"/>
  <c r="F74" i="20"/>
  <c r="F61" i="20"/>
  <c r="F71" i="20"/>
  <c r="F72" i="20"/>
  <c r="F66" i="20"/>
  <c r="F73" i="20"/>
  <c r="F63" i="20"/>
  <c r="F60" i="20"/>
  <c r="F69" i="20"/>
  <c r="F78" i="20"/>
  <c r="F68" i="20"/>
  <c r="F64" i="20"/>
  <c r="G20" i="16"/>
  <c r="O21" i="16" s="1"/>
  <c r="F4" i="20"/>
  <c r="F158" i="20"/>
  <c r="F670" i="20"/>
  <c r="F823" i="20"/>
  <c r="F1210" i="20"/>
  <c r="F848" i="20"/>
  <c r="F1196" i="20"/>
  <c r="F1053" i="20"/>
  <c r="F1192" i="20"/>
  <c r="F1422" i="20"/>
  <c r="F1708" i="20"/>
  <c r="F352" i="20"/>
  <c r="F604" i="20"/>
  <c r="F1443" i="20"/>
  <c r="F1476" i="20"/>
  <c r="F411" i="20"/>
  <c r="F1680" i="20"/>
  <c r="F2006" i="20"/>
  <c r="F367" i="20"/>
  <c r="F766" i="20"/>
  <c r="F1457" i="20"/>
  <c r="F1773" i="20"/>
  <c r="F675" i="20"/>
  <c r="F195" i="20"/>
  <c r="F1391" i="20"/>
  <c r="F1070" i="20"/>
  <c r="F1736" i="20"/>
  <c r="F136" i="20"/>
  <c r="F140" i="20"/>
  <c r="F864" i="20"/>
  <c r="F1392" i="20"/>
  <c r="F1253" i="20"/>
  <c r="F1556" i="20"/>
  <c r="F631" i="20"/>
  <c r="F1461" i="20"/>
  <c r="F506" i="20"/>
  <c r="F646" i="20"/>
  <c r="F2015" i="20"/>
  <c r="F2018" i="20"/>
  <c r="F1592" i="20"/>
  <c r="F1961" i="20"/>
  <c r="F1507" i="20"/>
  <c r="F1536" i="20"/>
  <c r="F247" i="20"/>
  <c r="F1714" i="20"/>
  <c r="F809" i="20"/>
  <c r="F816" i="20"/>
  <c r="F516" i="20"/>
  <c r="F1466" i="20"/>
  <c r="F323" i="20"/>
  <c r="F835" i="20"/>
  <c r="F228" i="20"/>
  <c r="F1163" i="20"/>
  <c r="F1243" i="20"/>
  <c r="F287" i="20"/>
  <c r="F34" i="20"/>
  <c r="F1257" i="20"/>
  <c r="F1126" i="20"/>
  <c r="F1485" i="20"/>
  <c r="F1347" i="20"/>
  <c r="F1060" i="20"/>
  <c r="F1862" i="20"/>
  <c r="F1839" i="20"/>
  <c r="F1353" i="20"/>
  <c r="F1216" i="20"/>
  <c r="F772" i="20"/>
  <c r="F253" i="20"/>
  <c r="F851" i="20"/>
  <c r="F618" i="20"/>
  <c r="F1355" i="20"/>
  <c r="F1720" i="20"/>
  <c r="F986" i="20"/>
  <c r="F99" i="20"/>
  <c r="F1191" i="20"/>
  <c r="F821" i="20"/>
  <c r="F949" i="20"/>
  <c r="F916" i="20"/>
  <c r="F344" i="20"/>
  <c r="F436" i="20"/>
  <c r="F1361" i="20"/>
  <c r="F224" i="20"/>
  <c r="F1589" i="20"/>
  <c r="F1683" i="20"/>
  <c r="F1797" i="20"/>
  <c r="F560" i="20"/>
  <c r="F1764" i="20"/>
  <c r="F454" i="20"/>
  <c r="F940" i="20"/>
  <c r="F994" i="20"/>
  <c r="F1482" i="20"/>
  <c r="F408" i="20"/>
  <c r="F681" i="20"/>
  <c r="F1357" i="20"/>
  <c r="F1552" i="20"/>
  <c r="F1454" i="20"/>
  <c r="F1285" i="20"/>
  <c r="F1016" i="20"/>
  <c r="F444" i="20"/>
  <c r="F1867" i="20"/>
  <c r="F1417" i="20"/>
  <c r="F554" i="20"/>
  <c r="F548" i="20"/>
  <c r="F376" i="20"/>
  <c r="F1584" i="20"/>
  <c r="F2020" i="20"/>
  <c r="F1799" i="20"/>
  <c r="F791" i="20"/>
  <c r="F257" i="20"/>
  <c r="F1785" i="20"/>
  <c r="F324" i="20"/>
  <c r="F134" i="20"/>
  <c r="F45" i="20"/>
  <c r="F870" i="20"/>
  <c r="F1518" i="20"/>
  <c r="F594" i="20"/>
  <c r="F1430" i="20"/>
  <c r="F166" i="20"/>
  <c r="F1889" i="20"/>
  <c r="F501" i="20"/>
  <c r="F1407" i="20"/>
  <c r="F343" i="20"/>
  <c r="F1990" i="20"/>
  <c r="F600" i="20"/>
  <c r="F1828" i="20"/>
  <c r="F1607" i="20"/>
  <c r="F990" i="20"/>
  <c r="F303" i="20"/>
  <c r="F1110" i="20"/>
  <c r="F1120" i="20"/>
  <c r="F1254" i="20"/>
  <c r="F1888" i="20"/>
  <c r="F515" i="20"/>
  <c r="F1783" i="20"/>
  <c r="F1273" i="20"/>
  <c r="F1685" i="20"/>
  <c r="F599" i="20"/>
  <c r="F1681" i="20"/>
  <c r="F58" i="20"/>
  <c r="F1436" i="20"/>
  <c r="F261" i="20"/>
  <c r="F90" i="20"/>
  <c r="F499" i="20"/>
  <c r="F168" i="20"/>
  <c r="F820" i="20"/>
  <c r="F223" i="20"/>
  <c r="F1097" i="20"/>
  <c r="F1014" i="20"/>
  <c r="F163" i="20"/>
  <c r="F1515" i="20"/>
  <c r="F2001" i="20"/>
  <c r="F1526" i="20"/>
  <c r="F289" i="20"/>
  <c r="F1304" i="20"/>
  <c r="F391" i="20"/>
  <c r="F677" i="20"/>
  <c r="F233" i="20"/>
  <c r="F1091" i="20"/>
  <c r="F1913" i="20"/>
  <c r="F250" i="20"/>
  <c r="F1882" i="20"/>
  <c r="F1794" i="20"/>
  <c r="F873" i="20"/>
  <c r="F54" i="20"/>
  <c r="F1508" i="20"/>
  <c r="F802" i="20"/>
  <c r="F1169" i="20"/>
  <c r="F1909" i="20"/>
  <c r="F849" i="20"/>
  <c r="F1878" i="20"/>
  <c r="F730" i="20"/>
  <c r="F1716" i="20"/>
  <c r="F1934" i="20"/>
  <c r="F214" i="20"/>
  <c r="F95" i="20"/>
  <c r="F1627" i="20"/>
  <c r="F1293" i="20"/>
  <c r="F1173" i="20"/>
  <c r="F933" i="20"/>
  <c r="F461" i="20"/>
  <c r="F1237" i="20"/>
  <c r="F734" i="20"/>
  <c r="F564" i="20"/>
  <c r="F472" i="20"/>
  <c r="F1056" i="20"/>
  <c r="F182" i="20"/>
  <c r="F886" i="20"/>
  <c r="F2048" i="20"/>
  <c r="F1001" i="20"/>
  <c r="F1319" i="20"/>
  <c r="F1841" i="20"/>
  <c r="F1359" i="20"/>
  <c r="F655" i="20"/>
  <c r="F469" i="20"/>
  <c r="F862" i="20"/>
  <c r="F1884" i="20"/>
  <c r="F1283" i="20"/>
  <c r="F1741" i="20"/>
  <c r="F232" i="20"/>
  <c r="F690" i="20"/>
  <c r="F625" i="20"/>
  <c r="F318" i="20"/>
  <c r="F569" i="20"/>
  <c r="F902" i="20"/>
  <c r="F1140" i="20"/>
  <c r="F578" i="20"/>
  <c r="F833" i="20"/>
  <c r="F1981" i="20"/>
  <c r="F1085" i="20"/>
  <c r="F742" i="20"/>
  <c r="F585" i="20"/>
  <c r="F1730" i="20"/>
  <c r="F387" i="20"/>
  <c r="F1022" i="20"/>
  <c r="F127" i="20"/>
  <c r="F1028" i="20"/>
  <c r="F558" i="20"/>
  <c r="F267" i="20"/>
  <c r="F1789" i="20"/>
  <c r="F603" i="20"/>
  <c r="F1616" i="20"/>
  <c r="F1896" i="20"/>
  <c r="F87" i="20"/>
  <c r="F368" i="20"/>
  <c r="F448" i="20"/>
  <c r="F246" i="20"/>
  <c r="F1611" i="20"/>
  <c r="F365" i="20"/>
  <c r="F572" i="20"/>
  <c r="F1582" i="20"/>
  <c r="F388" i="20"/>
  <c r="F186" i="20"/>
  <c r="F1679" i="20"/>
  <c r="F100" i="20"/>
  <c r="F715" i="20"/>
  <c r="F1689" i="20"/>
  <c r="F568" i="20"/>
  <c r="F2040" i="20"/>
  <c r="F1979" i="20"/>
  <c r="F555" i="20"/>
  <c r="F359" i="20"/>
  <c r="F562" i="20"/>
  <c r="F1307" i="20"/>
  <c r="F1842" i="20"/>
  <c r="F292" i="20"/>
  <c r="F1207" i="20"/>
  <c r="F1967" i="20"/>
  <c r="F1768" i="20"/>
  <c r="F1209" i="20"/>
  <c r="F1885" i="20"/>
  <c r="F12" i="20"/>
  <c r="F1614" i="20"/>
  <c r="F123" i="20"/>
  <c r="F1245" i="20"/>
  <c r="F1037" i="20"/>
  <c r="F1791" i="20"/>
  <c r="F1788" i="20"/>
  <c r="F2027" i="20"/>
  <c r="F553" i="20"/>
  <c r="F1305" i="20"/>
  <c r="F1807" i="20"/>
  <c r="F1486" i="20"/>
  <c r="F1523" i="20"/>
  <c r="F706" i="20"/>
  <c r="F1158" i="20"/>
  <c r="F1832" i="20"/>
  <c r="F540" i="20"/>
  <c r="F775" i="20"/>
  <c r="F464" i="20"/>
  <c r="F1036" i="20"/>
  <c r="F1572" i="20"/>
  <c r="F1044" i="20"/>
  <c r="F1129" i="20"/>
  <c r="F532" i="20"/>
  <c r="F272" i="20"/>
  <c r="F2016" i="20"/>
  <c r="F2021" i="20"/>
  <c r="F1761" i="20"/>
  <c r="F1920" i="20"/>
  <c r="F424" i="20"/>
  <c r="F1514" i="20"/>
  <c r="F1719" i="20"/>
  <c r="F617" i="20"/>
  <c r="F588" i="20"/>
  <c r="F255" i="20"/>
  <c r="F208" i="20"/>
  <c r="F170" i="20"/>
  <c r="F881" i="20"/>
  <c r="F1782" i="20"/>
  <c r="F699" i="20"/>
  <c r="F711" i="20"/>
  <c r="F1356" i="20"/>
  <c r="F1636" i="20"/>
  <c r="F974" i="20"/>
  <c r="F1183" i="20"/>
  <c r="F428" i="20"/>
  <c r="F980" i="20"/>
  <c r="F1733" i="20"/>
  <c r="F1474" i="20"/>
  <c r="F151" i="20"/>
  <c r="F1104" i="20"/>
  <c r="F1208" i="20"/>
  <c r="F358" i="20"/>
  <c r="F889" i="20"/>
  <c r="F1200" i="20"/>
  <c r="F1903" i="20"/>
  <c r="F1748" i="20"/>
  <c r="F1713" i="20"/>
  <c r="F920" i="20"/>
  <c r="F944" i="20"/>
  <c r="F985" i="20"/>
  <c r="F1278" i="20"/>
  <c r="F1339" i="20"/>
  <c r="F474" i="20"/>
  <c r="F840" i="20"/>
  <c r="F839" i="20"/>
  <c r="F80" i="20"/>
  <c r="F829" i="20"/>
  <c r="F1477" i="20"/>
  <c r="F778" i="20"/>
  <c r="F533" i="20"/>
  <c r="F1524" i="20"/>
  <c r="F565" i="20"/>
  <c r="F1655" i="20"/>
  <c r="F1695" i="20"/>
  <c r="F1010" i="20"/>
  <c r="F433" i="20"/>
  <c r="F1080" i="20"/>
  <c r="F2033" i="20"/>
  <c r="F543" i="20"/>
  <c r="F1444" i="20"/>
  <c r="F1011" i="20"/>
  <c r="F964" i="20"/>
  <c r="F1176" i="20"/>
  <c r="F1217" i="20"/>
  <c r="F1497" i="20"/>
  <c r="F1082" i="20"/>
  <c r="F1850" i="20"/>
  <c r="F1886" i="20"/>
  <c r="F52" i="20"/>
  <c r="F1232" i="20"/>
  <c r="F1484" i="20"/>
  <c r="F1460" i="20"/>
  <c r="F1561" i="20"/>
  <c r="F85" i="20"/>
  <c r="F1569" i="20"/>
  <c r="F1851" i="20"/>
  <c r="F290" i="20"/>
  <c r="F1606" i="20"/>
  <c r="F234" i="20"/>
  <c r="F539" i="20"/>
  <c r="F814" i="20"/>
  <c r="F1012" i="20"/>
  <c r="F235" i="20"/>
  <c r="F413" i="20"/>
  <c r="F1195" i="20"/>
  <c r="F2030" i="20"/>
  <c r="F1824" i="20"/>
  <c r="F1600" i="20"/>
  <c r="F586" i="20"/>
  <c r="F2024" i="20"/>
  <c r="F641" i="20"/>
  <c r="F113" i="20"/>
  <c r="F1267" i="20"/>
  <c r="F1603" i="20"/>
  <c r="F434" i="20"/>
  <c r="F154" i="20"/>
  <c r="F1277" i="20"/>
  <c r="F1512" i="20"/>
  <c r="F623" i="20"/>
  <c r="F350" i="20"/>
  <c r="F1058" i="20"/>
  <c r="F1750" i="20"/>
  <c r="F348" i="20"/>
  <c r="F1921" i="20"/>
  <c r="F1835" i="20"/>
  <c r="F372" i="20"/>
  <c r="F678" i="20"/>
  <c r="F1758" i="20"/>
  <c r="F452" i="20"/>
  <c r="F914" i="20"/>
  <c r="F1647" i="20"/>
  <c r="F956" i="20"/>
  <c r="F430" i="20"/>
  <c r="F1456" i="20"/>
  <c r="F1871" i="20"/>
  <c r="F979" i="20"/>
  <c r="F651" i="20"/>
  <c r="F825" i="20"/>
  <c r="F1229" i="20"/>
  <c r="F892" i="20"/>
  <c r="F894" i="20"/>
  <c r="F752" i="20"/>
  <c r="F1630" i="20"/>
  <c r="F393" i="20"/>
  <c r="F1617" i="20"/>
  <c r="F754" i="20"/>
  <c r="F1826" i="20"/>
  <c r="F22" i="20"/>
  <c r="F1769" i="20"/>
  <c r="F1771" i="20"/>
  <c r="F1718" i="20"/>
  <c r="F1470" i="20"/>
  <c r="F1201" i="20"/>
  <c r="F1892" i="20"/>
  <c r="F84" i="20"/>
  <c r="F1435" i="20"/>
  <c r="F1268" i="20"/>
  <c r="F1248" i="20"/>
  <c r="F1866" i="20"/>
  <c r="F1360" i="20"/>
  <c r="F629" i="20"/>
  <c r="F1955" i="20"/>
  <c r="F1664" i="20"/>
  <c r="F640" i="20"/>
  <c r="F674" i="20"/>
  <c r="F943" i="20"/>
  <c r="F1384" i="20"/>
  <c r="F739" i="20"/>
  <c r="F854" i="20"/>
  <c r="F2039" i="20"/>
  <c r="F309" i="20"/>
  <c r="F2047" i="20"/>
  <c r="F950" i="20"/>
  <c r="F1745" i="20"/>
  <c r="F635" i="20"/>
  <c r="F1301" i="20"/>
  <c r="F1472" i="20"/>
  <c r="F1300" i="20"/>
  <c r="F1817" i="20"/>
  <c r="F757" i="20"/>
  <c r="F131" i="20"/>
  <c r="F465" i="20"/>
  <c r="F1998" i="20"/>
  <c r="F1148" i="20"/>
  <c r="F786" i="20"/>
  <c r="F632" i="20"/>
  <c r="F1577" i="20"/>
  <c r="F756" i="20"/>
  <c r="F164" i="20"/>
  <c r="F1107" i="20"/>
  <c r="F332" i="20"/>
  <c r="F1547" i="20"/>
  <c r="F121" i="20"/>
  <c r="F1554" i="20"/>
  <c r="F1861" i="20"/>
  <c r="F1084" i="20"/>
  <c r="F1099" i="20"/>
  <c r="F198" i="20"/>
  <c r="F1280" i="20"/>
  <c r="F1560" i="20"/>
  <c r="F1902" i="20"/>
  <c r="F1039" i="20"/>
  <c r="F663" i="20"/>
  <c r="F1309" i="20"/>
  <c r="F48" i="20"/>
  <c r="F1776" i="20"/>
  <c r="F735" i="20"/>
  <c r="F498" i="20"/>
  <c r="F838" i="20"/>
  <c r="F1654" i="20"/>
  <c r="F1294" i="20"/>
  <c r="F1963" i="20"/>
  <c r="F1272" i="20"/>
  <c r="F842" i="20"/>
  <c r="F1694" i="20"/>
  <c r="F727" i="20"/>
  <c r="F512" i="20"/>
  <c r="F1984" i="20"/>
  <c r="F1621" i="20"/>
  <c r="F1279" i="20"/>
  <c r="F447" i="20"/>
  <c r="F790" i="20"/>
  <c r="F441" i="20"/>
  <c r="F1551" i="20"/>
  <c r="F1109" i="20"/>
  <c r="F1635" i="20"/>
  <c r="F354" i="20"/>
  <c r="F283" i="20"/>
  <c r="F561" i="20"/>
  <c r="F1805" i="20"/>
  <c r="F695" i="20"/>
  <c r="F1570" i="20"/>
  <c r="F1638" i="20"/>
  <c r="F917" i="20"/>
  <c r="F403" i="20"/>
  <c r="F373" i="20"/>
  <c r="F210" i="20"/>
  <c r="F1919" i="20"/>
  <c r="F1880" i="20"/>
  <c r="F2004" i="20"/>
  <c r="F492" i="20"/>
  <c r="F1235" i="20"/>
  <c r="F888" i="20"/>
  <c r="F831" i="20"/>
  <c r="F657" i="20"/>
  <c r="F960" i="20"/>
  <c r="F331" i="20"/>
  <c r="F824" i="20"/>
  <c r="F891" i="20"/>
  <c r="F972" i="20"/>
  <c r="F1276" i="20"/>
  <c r="F1581" i="20"/>
  <c r="F455" i="20"/>
  <c r="F615" i="20"/>
  <c r="F420" i="20"/>
  <c r="F1439" i="20"/>
  <c r="F271" i="20"/>
  <c r="F1313" i="20"/>
  <c r="F1511" i="20"/>
  <c r="F1479" i="20"/>
  <c r="F401" i="20"/>
  <c r="F226" i="20"/>
  <c r="F1291" i="20"/>
  <c r="F1801" i="20"/>
  <c r="F598" i="20"/>
  <c r="F1527" i="20"/>
  <c r="F736" i="20"/>
  <c r="F589" i="20"/>
  <c r="F185" i="20"/>
  <c r="F285" i="20"/>
  <c r="F1349" i="20"/>
  <c r="F1141" i="20"/>
  <c r="F126" i="20"/>
  <c r="F860" i="20"/>
  <c r="F610" i="20"/>
  <c r="F1652" i="20"/>
  <c r="F1096" i="20"/>
  <c r="F534" i="20"/>
  <c r="F1506" i="20"/>
  <c r="F595" i="20"/>
  <c r="F137" i="20"/>
  <c r="F1949" i="20"/>
  <c r="F1846" i="20"/>
  <c r="F1242" i="20"/>
  <c r="F1171" i="20"/>
  <c r="F643" i="20"/>
  <c r="F750" i="20"/>
  <c r="F1738" i="20"/>
  <c r="F1090" i="20"/>
  <c r="F1203" i="20"/>
  <c r="F1754" i="20"/>
  <c r="F1274" i="20"/>
  <c r="F719" i="20"/>
  <c r="F608" i="20"/>
  <c r="F932" i="20"/>
  <c r="F1079" i="20"/>
  <c r="F1498" i="20"/>
  <c r="F383" i="20"/>
  <c r="F927" i="20"/>
  <c r="F1590" i="20"/>
  <c r="F749" i="20"/>
  <c r="F890" i="20"/>
  <c r="F573" i="20"/>
  <c r="F1937" i="20"/>
  <c r="F1095" i="20"/>
  <c r="F1721" i="20"/>
  <c r="F1543" i="20"/>
  <c r="F205" i="20"/>
  <c r="F514" i="20"/>
  <c r="F671" i="20"/>
  <c r="F357" i="20"/>
  <c r="F1246" i="20"/>
  <c r="F796" i="20"/>
  <c r="F268" i="20"/>
  <c r="F817" i="20"/>
  <c r="F1172" i="20"/>
  <c r="F347" i="20"/>
  <c r="F1950" i="20"/>
  <c r="F3" i="20"/>
  <c r="F322" i="20"/>
  <c r="F923" i="20"/>
  <c r="F1997" i="20"/>
  <c r="F1710" i="20"/>
  <c r="F184" i="20"/>
  <c r="F1066" i="20"/>
  <c r="F850" i="20"/>
  <c r="F1853" i="20"/>
  <c r="F1094" i="20"/>
  <c r="F1743" i="20"/>
  <c r="F1040" i="20"/>
  <c r="F1143" i="20"/>
  <c r="F1260" i="20"/>
  <c r="F108" i="20"/>
  <c r="F204" i="20"/>
  <c r="F664" i="20"/>
  <c r="F1609" i="20"/>
  <c r="F79" i="20"/>
  <c r="F304" i="20"/>
  <c r="F353" i="20"/>
  <c r="F1602" i="20"/>
  <c r="F1691" i="20"/>
  <c r="F258" i="20"/>
  <c r="F493" i="20"/>
  <c r="F175" i="20"/>
  <c r="F1259" i="20"/>
  <c r="F407" i="20"/>
  <c r="F1844" i="20"/>
  <c r="F297" i="20"/>
  <c r="F748" i="20"/>
  <c r="F879" i="20"/>
  <c r="F449" i="20"/>
  <c r="F587" i="20"/>
  <c r="F513" i="20"/>
  <c r="F1798" i="20"/>
  <c r="F1138" i="20"/>
  <c r="F1737" i="20"/>
  <c r="F1197" i="20"/>
  <c r="F1184" i="20"/>
  <c r="F1521" i="20"/>
  <c r="F1410" i="20"/>
  <c r="F1057" i="20"/>
  <c r="F546" i="20"/>
  <c r="F384" i="20"/>
  <c r="F1907" i="20"/>
  <c r="F320" i="20"/>
  <c r="F1827" i="20"/>
  <c r="F1958" i="20"/>
  <c r="F1420" i="20"/>
  <c r="F845" i="20"/>
  <c r="F1008" i="20"/>
  <c r="F1756" i="20"/>
  <c r="F1938" i="20"/>
  <c r="F1632" i="20"/>
  <c r="F653" i="20"/>
  <c r="F1475" i="20"/>
  <c r="F738" i="20"/>
  <c r="F1953" i="20"/>
  <c r="F429" i="20"/>
  <c r="F1289" i="20"/>
  <c r="F852" i="20"/>
  <c r="F899" i="20"/>
  <c r="F1072" i="20"/>
  <c r="F1069" i="20"/>
  <c r="F1023" i="20"/>
  <c r="F866" i="20"/>
  <c r="F1336" i="20"/>
  <c r="F473" i="20"/>
  <c r="F1749" i="20"/>
  <c r="F1013" i="20"/>
  <c r="F1491" i="20"/>
  <c r="F1312" i="20"/>
  <c r="F971" i="20"/>
  <c r="F758" i="20"/>
  <c r="F764" i="20"/>
  <c r="F740" i="20"/>
  <c r="F728" i="20"/>
  <c r="F1774" i="20"/>
  <c r="F769" i="20"/>
  <c r="F551" i="20"/>
  <c r="F1441" i="20"/>
  <c r="F178" i="20"/>
  <c r="F507" i="20"/>
  <c r="F1132" i="20"/>
  <c r="F239" i="20"/>
  <c r="F1742" i="20"/>
  <c r="F389" i="20"/>
  <c r="F822" i="20"/>
  <c r="F1238" i="20"/>
  <c r="F656" i="20"/>
  <c r="F1864" i="20"/>
  <c r="F412" i="20"/>
  <c r="F729" i="20"/>
  <c r="F1399" i="20"/>
  <c r="F279" i="20"/>
  <c r="F1021" i="20"/>
  <c r="F1800" i="20"/>
  <c r="F1180" i="20"/>
  <c r="F1724" i="20"/>
  <c r="F1043" i="20"/>
  <c r="F1855" i="20"/>
  <c r="F868" i="20"/>
  <c r="F1663" i="20"/>
  <c r="F1261" i="20"/>
  <c r="F453" i="20"/>
  <c r="F395" i="20"/>
  <c r="F1330" i="20"/>
  <c r="F859" i="20"/>
  <c r="F1228" i="20"/>
  <c r="F1802" i="20"/>
  <c r="F1415" i="20"/>
  <c r="F1712" i="20"/>
  <c r="F1587" i="20"/>
  <c r="F705" i="20"/>
  <c r="F1400" i="20"/>
  <c r="F442" i="20"/>
  <c r="F895" i="20"/>
  <c r="F1071" i="20"/>
  <c r="F1314" i="20"/>
  <c r="F1927" i="20"/>
  <c r="F1598" i="20"/>
  <c r="F1258" i="20"/>
  <c r="F1046" i="20"/>
  <c r="F1078" i="20"/>
  <c r="F1212" i="20"/>
  <c r="F1316" i="20"/>
  <c r="F590" i="20"/>
  <c r="F245" i="20"/>
  <c r="F1386" i="20"/>
  <c r="F1478" i="20"/>
  <c r="F399" i="20"/>
  <c r="F773" i="20"/>
  <c r="F1156" i="20"/>
  <c r="F337" i="20"/>
  <c r="F1393" i="20"/>
  <c r="F1170" i="20"/>
  <c r="F957" i="20"/>
  <c r="F622" i="20"/>
  <c r="F192" i="20"/>
  <c r="F662" i="20"/>
  <c r="F1631" i="20"/>
  <c r="F1390" i="20"/>
  <c r="F1752" i="20"/>
  <c r="F1657" i="20"/>
  <c r="F1891" i="20"/>
  <c r="F660" i="20"/>
  <c r="F922" i="20"/>
  <c r="F1489" i="20"/>
  <c r="F335" i="20"/>
  <c r="F1047" i="20"/>
  <c r="F1792" i="20"/>
  <c r="F988" i="20"/>
  <c r="F1634" i="20"/>
  <c r="F826" i="20"/>
  <c r="F1729" i="20"/>
  <c r="F286" i="20"/>
  <c r="F380" i="20"/>
  <c r="F1661" i="20"/>
  <c r="F1923" i="20"/>
  <c r="F1567" i="20"/>
  <c r="F1786" i="20"/>
  <c r="F1374" i="20"/>
  <c r="F654" i="20"/>
  <c r="F89" i="20"/>
  <c r="F1286" i="20"/>
  <c r="F732" i="20"/>
  <c r="F619" i="20"/>
  <c r="F701" i="20"/>
  <c r="F510" i="20"/>
  <c r="F1038" i="20"/>
  <c r="F117" i="20"/>
  <c r="F1007" i="20"/>
  <c r="F222" i="20"/>
  <c r="F486" i="20"/>
  <c r="F1440" i="20"/>
  <c r="F46" i="20"/>
  <c r="F1857" i="20"/>
  <c r="F1155" i="20"/>
  <c r="F1563" i="20"/>
  <c r="F1264" i="20"/>
  <c r="F1821" i="20"/>
  <c r="F1266" i="20"/>
  <c r="F1222" i="20"/>
  <c r="F107" i="20"/>
  <c r="F810" i="20"/>
  <c r="F987" i="20"/>
  <c r="F571" i="20"/>
  <c r="F1067" i="20"/>
  <c r="F1352" i="20"/>
  <c r="F1701" i="20"/>
  <c r="F907" i="20"/>
  <c r="F427" i="20"/>
  <c r="F1492" i="20"/>
  <c r="F231" i="20"/>
  <c r="F1412" i="20"/>
  <c r="F1987" i="20"/>
  <c r="F601" i="20"/>
  <c r="F872" i="20"/>
  <c r="F356" i="20"/>
  <c r="F709" i="20"/>
  <c r="F524" i="20"/>
  <c r="F229" i="20"/>
  <c r="F1575" i="20"/>
  <c r="F1775" i="20"/>
  <c r="F1236" i="20"/>
  <c r="F1341" i="20"/>
  <c r="F390" i="20"/>
  <c r="F1734" i="20"/>
  <c r="F981" i="20"/>
  <c r="F1874" i="20"/>
  <c r="F1597" i="20"/>
  <c r="F295" i="20"/>
  <c r="F1834" i="20"/>
  <c r="F1957" i="20"/>
  <c r="F1901" i="20"/>
  <c r="F2008" i="20"/>
  <c r="F779" i="20"/>
  <c r="F1024" i="20"/>
  <c r="F1534" i="20"/>
  <c r="F1585" i="20"/>
  <c r="F478" i="20"/>
  <c r="F538" i="20"/>
  <c r="F362" i="20"/>
  <c r="F703" i="20"/>
  <c r="F1522" i="20"/>
  <c r="F733" i="20"/>
  <c r="F1571" i="20"/>
  <c r="F1848" i="20"/>
  <c r="F1414" i="20"/>
  <c r="F1549" i="20"/>
  <c r="F11" i="20"/>
  <c r="F202" i="20"/>
  <c r="F2012" i="20"/>
  <c r="F591" i="20"/>
  <c r="F361" i="20"/>
  <c r="F1401" i="20"/>
  <c r="F1615" i="20"/>
  <c r="F1113" i="20"/>
  <c r="F1310" i="20"/>
  <c r="F133" i="20"/>
  <c r="F1528" i="20"/>
  <c r="F421" i="20"/>
  <c r="F1240" i="20"/>
  <c r="F1496" i="20"/>
  <c r="F522" i="20"/>
  <c r="F992" i="20"/>
  <c r="F795" i="20"/>
  <c r="F1579" i="20"/>
  <c r="F1149" i="20"/>
  <c r="F1897" i="20"/>
  <c r="F913" i="20"/>
  <c r="F688" i="20"/>
  <c r="F386" i="20"/>
  <c r="F415" i="20"/>
  <c r="F627" i="20"/>
  <c r="F1946" i="20"/>
  <c r="F2038" i="20"/>
  <c r="F1510" i="20"/>
  <c r="F1383" i="20"/>
  <c r="F1061" i="20"/>
  <c r="F502" i="20"/>
  <c r="F596" i="20"/>
  <c r="F125" i="20"/>
  <c r="F1419" i="20"/>
  <c r="F181" i="20"/>
  <c r="F1707" i="20"/>
  <c r="F468" i="20"/>
  <c r="F490" i="20"/>
  <c r="F1292" i="20"/>
  <c r="F1020" i="20"/>
  <c r="F371" i="20"/>
  <c r="F1089" i="20"/>
  <c r="F1150" i="20"/>
  <c r="F1762" i="20"/>
  <c r="F1971" i="20"/>
  <c r="F900" i="20"/>
  <c r="F336" i="20"/>
  <c r="F1744" i="20"/>
  <c r="F132" i="20"/>
  <c r="F931" i="20"/>
  <c r="F1124" i="20"/>
  <c r="F1190" i="20"/>
  <c r="F417" i="20"/>
  <c r="F1087" i="20"/>
  <c r="F1092" i="20"/>
  <c r="F783" i="20"/>
  <c r="F1557" i="20"/>
  <c r="F482" i="20"/>
  <c r="F1517" i="20"/>
  <c r="F919" i="20"/>
  <c r="F144" i="20"/>
  <c r="F333" i="20"/>
  <c r="F1413" i="20"/>
  <c r="F1795" i="20"/>
  <c r="F1453" i="20"/>
  <c r="F106" i="20"/>
  <c r="F1442" i="20"/>
  <c r="F1619" i="20"/>
  <c r="F1818" i="20"/>
  <c r="F605" i="20"/>
  <c r="F96" i="20"/>
  <c r="F162" i="20"/>
  <c r="F1000" i="20"/>
  <c r="F1487" i="20"/>
  <c r="F1863" i="20"/>
  <c r="F1671" i="20"/>
  <c r="F463" i="20"/>
  <c r="F1006" i="20"/>
  <c r="F1759" i="20"/>
  <c r="F260" i="20"/>
  <c r="F110" i="20"/>
  <c r="F1576" i="20"/>
  <c r="F1696" i="20"/>
  <c r="F1270" i="20"/>
  <c r="F1973" i="20"/>
  <c r="F1565" i="20"/>
  <c r="F218" i="20"/>
  <c r="F1231" i="20"/>
  <c r="F1458" i="20"/>
  <c r="F1829" i="20"/>
  <c r="F1416" i="20"/>
  <c r="F1381" i="20"/>
  <c r="F1161" i="20"/>
  <c r="F1538" i="20"/>
  <c r="F636" i="20"/>
  <c r="F14" i="20"/>
  <c r="F36" i="20"/>
  <c r="F21" i="20"/>
  <c r="F278" i="20"/>
  <c r="F1672" i="20"/>
  <c r="F405" i="20"/>
  <c r="F691" i="20"/>
  <c r="F1048" i="20"/>
  <c r="F1529" i="20"/>
  <c r="F1628" i="20"/>
  <c r="F1623" i="20"/>
  <c r="F1263" i="20"/>
  <c r="F1287" i="20"/>
  <c r="F1645" i="20"/>
  <c r="F962" i="20"/>
  <c r="F710" i="20"/>
  <c r="F82" i="20"/>
  <c r="F535" i="20"/>
  <c r="F1331" i="20"/>
  <c r="F682" i="20"/>
  <c r="F665" i="20"/>
  <c r="F1074" i="20"/>
  <c r="F570" i="20"/>
  <c r="F1699" i="20"/>
  <c r="F1462" i="20"/>
  <c r="F1220" i="20"/>
  <c r="F1975" i="20"/>
  <c r="F177" i="20"/>
  <c r="F1009" i="20"/>
  <c r="F997" i="20"/>
  <c r="F402" i="20"/>
  <c r="F1373" i="20"/>
  <c r="F955" i="20"/>
  <c r="F1639" i="20"/>
  <c r="F1051" i="20"/>
  <c r="F1875" i="20"/>
  <c r="F876" i="20"/>
  <c r="F639" i="20"/>
  <c r="F1559" i="20"/>
  <c r="F157" i="20"/>
  <c r="F1077" i="20"/>
  <c r="F563" i="20"/>
  <c r="F1624" i="20"/>
  <c r="F50" i="20"/>
  <c r="F1651" i="20"/>
  <c r="F497" i="20"/>
  <c r="F1945" i="20"/>
  <c r="F1894" i="20"/>
  <c r="F201" i="20"/>
  <c r="F893" i="20"/>
  <c r="F1467" i="20"/>
  <c r="F1370" i="20"/>
  <c r="F1564" i="20"/>
  <c r="F744" i="20"/>
  <c r="F1455" i="20"/>
  <c r="F1234" i="20"/>
  <c r="F1086" i="20"/>
  <c r="F1177" i="20"/>
  <c r="F1379" i="20"/>
  <c r="F485" i="20"/>
  <c r="F989" i="20"/>
  <c r="F1494" i="20"/>
  <c r="F1568" i="20"/>
  <c r="F1226" i="20"/>
  <c r="F1465" i="20"/>
  <c r="F1275" i="20"/>
  <c r="F1641" i="20"/>
  <c r="F504" i="20"/>
  <c r="F897" i="20"/>
  <c r="F692" i="20"/>
  <c r="F1917" i="20"/>
  <c r="F924" i="20"/>
  <c r="F86" i="20"/>
  <c r="F1751" i="20"/>
  <c r="F628" i="20"/>
  <c r="F1727" i="20"/>
  <c r="F55" i="20"/>
  <c r="F1093" i="20"/>
  <c r="F696" i="20"/>
  <c r="F1329" i="20"/>
  <c r="F1887" i="20"/>
  <c r="F483" i="20"/>
  <c r="F883" i="20"/>
  <c r="F477" i="20"/>
  <c r="F1504" i="20"/>
  <c r="F556" i="20"/>
  <c r="F1045" i="20"/>
  <c r="F1540" i="20"/>
  <c r="F1811" i="20"/>
  <c r="F425" i="20"/>
  <c r="F1704" i="20"/>
  <c r="F1250" i="20"/>
  <c r="F161" i="20"/>
  <c r="F910" i="20"/>
  <c r="F1677" i="20"/>
  <c r="F1644" i="20"/>
  <c r="F1812" i="20"/>
  <c r="F1650" i="20"/>
  <c r="F1438" i="20"/>
  <c r="F109" i="20"/>
  <c r="F148" i="20"/>
  <c r="F667" i="20"/>
  <c r="F770" i="20"/>
  <c r="F526" i="20"/>
  <c r="F1610" i="20"/>
  <c r="F445" i="20"/>
  <c r="F169" i="20"/>
  <c r="F249" i="20"/>
  <c r="F904" i="20"/>
  <c r="F1424" i="20"/>
  <c r="F1872" i="20"/>
  <c r="F1188" i="20"/>
  <c r="F680" i="20"/>
  <c r="F1803" i="20"/>
  <c r="F1380" i="20"/>
  <c r="F658" i="20"/>
  <c r="F815" i="20"/>
  <c r="F1952" i="20"/>
  <c r="F566" i="20"/>
  <c r="F44" i="20"/>
  <c r="F30" i="20"/>
  <c r="F1675" i="20"/>
  <c r="F180" i="20"/>
  <c r="F114" i="20"/>
  <c r="F1230" i="20"/>
  <c r="F787" i="20"/>
  <c r="F1186" i="20"/>
  <c r="F959" i="20"/>
  <c r="F1152" i="20"/>
  <c r="F887" i="20"/>
  <c r="F999" i="20"/>
  <c r="F2041" i="20"/>
  <c r="F1854" i="20"/>
  <c r="F797" i="20"/>
  <c r="F377" i="20"/>
  <c r="F645" i="20"/>
  <c r="F141" i="20"/>
  <c r="F219" i="20"/>
  <c r="F1985" i="20"/>
  <c r="F1213" i="20"/>
  <c r="F1449" i="20"/>
  <c r="F712" i="20"/>
  <c r="F341" i="20"/>
  <c r="F717" i="20"/>
  <c r="F1137" i="20"/>
  <c r="F519" i="20"/>
  <c r="F1146" i="20"/>
  <c r="F212" i="20"/>
  <c r="F1558" i="20"/>
  <c r="F2049" i="20"/>
  <c r="F1895" i="20"/>
  <c r="F1943" i="20"/>
  <c r="F301" i="20"/>
  <c r="F1468" i="20"/>
  <c r="F1893" i="20"/>
  <c r="F722" i="20"/>
  <c r="F1693" i="20"/>
  <c r="F2019" i="20"/>
  <c r="F1856" i="20"/>
  <c r="F858" i="20"/>
  <c r="F700" i="20"/>
  <c r="F1820" i="20"/>
  <c r="F1643" i="20"/>
  <c r="F191" i="20"/>
  <c r="F88" i="20"/>
  <c r="F1519" i="20"/>
  <c r="F614" i="20"/>
  <c r="F996" i="20"/>
  <c r="F206" i="20"/>
  <c r="F1962" i="20"/>
  <c r="F196" i="20"/>
  <c r="F1649" i="20"/>
  <c r="F1117" i="20"/>
  <c r="F28" i="20"/>
  <c r="F31" i="20"/>
  <c r="F480" i="20"/>
  <c r="F531" i="20"/>
  <c r="F1139" i="20"/>
  <c r="F668" i="20"/>
  <c r="F1513" i="20"/>
  <c r="F1665" i="20"/>
  <c r="F1767" i="20"/>
  <c r="F1939" i="20"/>
  <c r="F349" i="20"/>
  <c r="F2032" i="20"/>
  <c r="F1073" i="20"/>
  <c r="F1686" i="20"/>
  <c r="F803" i="20"/>
  <c r="F863" i="20"/>
  <c r="F1118" i="20"/>
  <c r="F1262" i="20"/>
  <c r="F741" i="20"/>
  <c r="F1986" i="20"/>
  <c r="F215" i="20"/>
  <c r="F139" i="20"/>
  <c r="F432" i="20"/>
  <c r="F968" i="20"/>
  <c r="F768" i="20"/>
  <c r="F926" i="20"/>
  <c r="F1843" i="20"/>
  <c r="F1389" i="20"/>
  <c r="F1429" i="20"/>
  <c r="F918" i="20"/>
  <c r="F720" i="20"/>
  <c r="F784" i="20"/>
  <c r="F1936" i="20"/>
  <c r="F355" i="20"/>
  <c r="F593" i="20"/>
  <c r="F1697" i="20"/>
  <c r="F978" i="20"/>
  <c r="F1591" i="20"/>
  <c r="F1451" i="20"/>
  <c r="F966" i="20"/>
  <c r="F648" i="20"/>
  <c r="F1755" i="20"/>
  <c r="F307" i="20"/>
  <c r="F312" i="20"/>
  <c r="F1994" i="20"/>
  <c r="F1928" i="20"/>
  <c r="F1108" i="20"/>
  <c r="F1666" i="20"/>
  <c r="F280" i="20"/>
  <c r="F1500" i="20"/>
  <c r="F1509" i="20"/>
  <c r="F1673" i="20"/>
  <c r="F18" i="20"/>
  <c r="F1059" i="20"/>
  <c r="F1411" i="20"/>
  <c r="F207" i="20"/>
  <c r="F1881" i="20"/>
  <c r="F1111" i="20"/>
  <c r="F576" i="20"/>
  <c r="F673" i="20"/>
  <c r="F1545" i="20"/>
  <c r="F581" i="20"/>
  <c r="F1205" i="20"/>
  <c r="F1151" i="20"/>
  <c r="F1333" i="20"/>
  <c r="F776" i="20"/>
  <c r="F471" i="20"/>
  <c r="F1174" i="20"/>
  <c r="F1088" i="20"/>
  <c r="F269" i="20"/>
  <c r="F1877" i="20"/>
  <c r="F1766" i="20"/>
  <c r="F394" i="20"/>
  <c r="F577" i="20"/>
  <c r="F689" i="20"/>
  <c r="F375" i="20"/>
  <c r="F479" i="20"/>
  <c r="F440" i="20"/>
  <c r="F1700" i="20"/>
  <c r="F1252" i="20"/>
  <c r="F1847" i="20"/>
  <c r="F774" i="20"/>
  <c r="F242" i="20"/>
  <c r="F143" i="20"/>
  <c r="F743" i="20"/>
  <c r="F410" i="20"/>
  <c r="F780" i="20"/>
  <c r="F1940" i="20"/>
  <c r="F237" i="20"/>
  <c r="F1446" i="20"/>
  <c r="F1241" i="20"/>
  <c r="F81" i="20"/>
  <c r="F806" i="20"/>
  <c r="F1542" i="20"/>
  <c r="F763" i="20"/>
  <c r="F1816" i="20"/>
  <c r="F366" i="20"/>
  <c r="F327" i="20"/>
  <c r="F1255" i="20"/>
  <c r="F1804" i="20"/>
  <c r="F217" i="20"/>
  <c r="F1698" i="20"/>
  <c r="F1684" i="20"/>
  <c r="F33" i="20"/>
  <c r="F1906" i="20"/>
  <c r="F1189" i="20"/>
  <c r="F340" i="20"/>
  <c r="F1116" i="20"/>
  <c r="F1586" i="20"/>
  <c r="F1924" i="20"/>
  <c r="F983" i="20"/>
  <c r="F693" i="20"/>
  <c r="F1437" i="20"/>
  <c r="F1926" i="20"/>
  <c r="F1982" i="20"/>
  <c r="F1251" i="20"/>
  <c r="F520" i="20"/>
  <c r="F1583" i="20"/>
  <c r="F908" i="20"/>
  <c r="F1295" i="20"/>
  <c r="F697" i="20"/>
  <c r="F1049" i="20"/>
  <c r="F1122" i="20"/>
  <c r="F633" i="20"/>
  <c r="F1918" i="20"/>
  <c r="F1806" i="20"/>
  <c r="F262" i="20"/>
  <c r="F2042" i="20"/>
  <c r="F2009" i="20"/>
  <c r="F947" i="20"/>
  <c r="F1966" i="20"/>
  <c r="F1368" i="20"/>
  <c r="F528" i="20"/>
  <c r="F146" i="20"/>
  <c r="F1642" i="20"/>
  <c r="F1933" i="20"/>
  <c r="F1372" i="20"/>
  <c r="F160" i="20"/>
  <c r="F273" i="20"/>
  <c r="F92" i="20"/>
  <c r="F1344" i="20"/>
  <c r="F2036" i="20"/>
  <c r="F2005" i="20"/>
  <c r="F731" i="20"/>
  <c r="F857" i="20"/>
  <c r="F1787" i="20"/>
  <c r="F503" i="20"/>
  <c r="F203" i="20"/>
  <c r="F2035" i="20"/>
  <c r="F294" i="20"/>
  <c r="F509" i="20"/>
  <c r="F1922" i="20"/>
  <c r="F1899" i="20"/>
  <c r="F10" i="20"/>
  <c r="F1725" i="20"/>
  <c r="F751" i="20"/>
  <c r="F1948" i="20"/>
  <c r="F1876" i="20"/>
  <c r="F1182" i="20"/>
  <c r="F841" i="20"/>
  <c r="F953" i="20"/>
  <c r="F602" i="20"/>
  <c r="F457" i="20"/>
  <c r="F973" i="20"/>
  <c r="F1706" i="20"/>
  <c r="F291" i="20"/>
  <c r="F150" i="20"/>
  <c r="F967" i="20"/>
  <c r="F1890" i="20"/>
  <c r="F624" i="20"/>
  <c r="F1119" i="20"/>
  <c r="F724" i="20"/>
  <c r="F771" i="20"/>
  <c r="F1954" i="20"/>
  <c r="F508" i="20"/>
  <c r="F1531" i="20"/>
  <c r="F1288" i="20"/>
  <c r="F1102" i="20"/>
  <c r="F828" i="20"/>
  <c r="F460" i="20"/>
  <c r="F505" i="20"/>
  <c r="F1328" i="20"/>
  <c r="F1029" i="20"/>
  <c r="F49" i="20"/>
  <c r="F550" i="20"/>
  <c r="F379" i="20"/>
  <c r="F1779" i="20"/>
  <c r="F652" i="20"/>
  <c r="F982" i="20"/>
  <c r="F1385" i="20"/>
  <c r="F296" i="20"/>
  <c r="F1960" i="20"/>
  <c r="F536" i="20"/>
  <c r="F800" i="20"/>
  <c r="F1668" i="20"/>
  <c r="F263" i="20"/>
  <c r="F1501" i="20"/>
  <c r="F213" i="20"/>
  <c r="F818" i="20"/>
  <c r="F381" i="20"/>
  <c r="F1358" i="20"/>
  <c r="F1342" i="20"/>
  <c r="F1601" i="20"/>
  <c r="F1147" i="20"/>
  <c r="F29" i="20"/>
  <c r="F1325" i="20"/>
  <c r="F898" i="20"/>
  <c r="F1703" i="20"/>
  <c r="F1127" i="20"/>
  <c r="F2007" i="20"/>
  <c r="F1516" i="20"/>
  <c r="F101" i="20"/>
  <c r="F1112" i="20"/>
  <c r="F1350" i="20"/>
  <c r="F1532" i="20"/>
  <c r="F958" i="20"/>
  <c r="F470" i="20"/>
  <c r="F936" i="20"/>
  <c r="F856" i="20"/>
  <c r="F190" i="20"/>
  <c r="F1605" i="20"/>
  <c r="F934" i="20"/>
  <c r="F882" i="20"/>
  <c r="F2044" i="20"/>
  <c r="F315" i="20"/>
  <c r="F1447" i="20"/>
  <c r="F334" i="20"/>
  <c r="F1931" i="20"/>
  <c r="F171" i="20"/>
  <c r="F975" i="20"/>
  <c r="F1105" i="20"/>
  <c r="F172" i="20"/>
  <c r="F1781" i="20"/>
  <c r="F1302" i="20"/>
  <c r="F458" i="20"/>
  <c r="F1959" i="20"/>
  <c r="F346" i="20"/>
  <c r="F1223" i="20"/>
  <c r="F765" i="20"/>
  <c r="F299" i="20"/>
  <c r="F2034" i="20"/>
  <c r="F799" i="20"/>
  <c r="F912" i="20"/>
  <c r="F521" i="20"/>
  <c r="F616" i="20"/>
  <c r="F1434" i="20"/>
  <c r="F1166" i="20"/>
  <c r="F2045" i="20"/>
  <c r="F1573" i="20"/>
  <c r="F613" i="20"/>
  <c r="F1956" i="20"/>
  <c r="F1932" i="20"/>
  <c r="F630" i="20"/>
  <c r="F187" i="20"/>
  <c r="F38" i="20"/>
  <c r="F488" i="20"/>
  <c r="F1831" i="20"/>
  <c r="F274" i="20"/>
  <c r="F91" i="20"/>
  <c r="F1763" i="20"/>
  <c r="F1136" i="20"/>
  <c r="F853" i="20"/>
  <c r="F1227" i="20"/>
  <c r="F609" i="20"/>
  <c r="F155" i="20"/>
  <c r="F2022" i="20"/>
  <c r="F1206" i="20"/>
  <c r="F211" i="20"/>
  <c r="F240" i="20"/>
  <c r="F702" i="20"/>
  <c r="F119" i="20"/>
  <c r="F1459" i="20"/>
  <c r="F935" i="20"/>
  <c r="F1219" i="20"/>
  <c r="F281" i="20"/>
  <c r="F1346" i="20"/>
  <c r="F316" i="20"/>
  <c r="F686" i="20"/>
  <c r="F330" i="20"/>
  <c r="F1929" i="20"/>
  <c r="F104" i="20"/>
  <c r="F1427" i="20"/>
  <c r="F1942" i="20"/>
  <c r="F1469" i="20"/>
  <c r="F1098" i="20"/>
  <c r="F747" i="20"/>
  <c r="F1991" i="20"/>
  <c r="F1265" i="20"/>
  <c r="F94" i="20"/>
  <c r="F808" i="20"/>
  <c r="F1448" i="20"/>
  <c r="F179" i="20"/>
  <c r="F925" i="20"/>
  <c r="F915" i="20"/>
  <c r="F869" i="20"/>
  <c r="F431" i="20"/>
  <c r="F484" i="20"/>
  <c r="F128" i="20"/>
  <c r="F1199" i="20"/>
  <c r="F1669" i="20"/>
  <c r="F1687" i="20"/>
  <c r="F1364" i="20"/>
  <c r="F1054" i="20"/>
  <c r="F1363" i="20"/>
  <c r="F230" i="20"/>
  <c r="F1031" i="20"/>
  <c r="F575" i="20"/>
  <c r="F1653" i="20"/>
  <c r="F450" i="20"/>
  <c r="F1015" i="20"/>
  <c r="F844" i="20"/>
  <c r="F392" i="20"/>
  <c r="F236" i="20"/>
  <c r="F606" i="20"/>
  <c r="F1533" i="20"/>
  <c r="F871" i="20"/>
  <c r="F138" i="20"/>
  <c r="F149" i="20"/>
  <c r="F1830" i="20"/>
  <c r="F1825" i="20"/>
  <c r="F836" i="20"/>
  <c r="F777" i="20"/>
  <c r="F718" i="20"/>
  <c r="F530" i="20"/>
  <c r="F807" i="20"/>
  <c r="F1052" i="20"/>
  <c r="F1951" i="20"/>
  <c r="F1640" i="20"/>
  <c r="F1715" i="20"/>
  <c r="F200" i="20"/>
  <c r="F1027" i="20"/>
  <c r="F1377" i="20"/>
  <c r="F1135" i="20"/>
  <c r="F607" i="20"/>
  <c r="F328" i="20"/>
  <c r="F1674" i="20"/>
  <c r="F1784" i="20"/>
  <c r="F1153" i="20"/>
  <c r="F1723" i="20"/>
  <c r="F1017" i="20"/>
  <c r="F1925" i="20"/>
  <c r="F118" i="20"/>
  <c r="F684" i="20"/>
  <c r="F637" i="20"/>
  <c r="F1065" i="20"/>
  <c r="F1018" i="20"/>
  <c r="F1396" i="20"/>
  <c r="F1996" i="20"/>
  <c r="F1351" i="20"/>
  <c r="F167" i="20"/>
  <c r="F1941" i="20"/>
  <c r="F1702" i="20"/>
  <c r="F7" i="20"/>
  <c r="F43" i="20"/>
  <c r="F238" i="20"/>
  <c r="F1660" i="20"/>
  <c r="F1202" i="20"/>
  <c r="F685" i="20"/>
  <c r="F1193" i="20"/>
  <c r="F1916" i="20"/>
  <c r="F1371" i="20"/>
  <c r="F1284" i="20"/>
  <c r="F1332" i="20"/>
  <c r="F2046" i="20"/>
  <c r="F459" i="20"/>
  <c r="F896" i="20"/>
  <c r="F1822" i="20"/>
  <c r="F1002" i="20"/>
  <c r="F1746" i="20"/>
  <c r="F1908" i="20"/>
  <c r="F83" i="20"/>
  <c r="F426" i="20"/>
  <c r="F345" i="20"/>
  <c r="F1397" i="20"/>
  <c r="F1525" i="20"/>
  <c r="F714" i="20"/>
  <c r="F1145" i="20"/>
  <c r="F1726" i="20"/>
  <c r="F1488" i="20"/>
  <c r="F400" i="20"/>
  <c r="F1308" i="20"/>
  <c r="F406" i="20"/>
  <c r="F827" i="20"/>
  <c r="F6" i="20"/>
  <c r="F1343" i="20"/>
  <c r="F300" i="20"/>
  <c r="F1103" i="20"/>
  <c r="F1550" i="20"/>
  <c r="F1365" i="20"/>
  <c r="F443" i="20"/>
  <c r="F1905" i="20"/>
  <c r="F159" i="20"/>
  <c r="F725" i="20"/>
  <c r="F1790" i="20"/>
  <c r="F51" i="20"/>
  <c r="F1471" i="20"/>
  <c r="F1004" i="20"/>
  <c r="F1311" i="20"/>
  <c r="F847" i="20"/>
  <c r="F1493" i="20"/>
  <c r="F903" i="20"/>
  <c r="F1904" i="20"/>
  <c r="F1418" i="20"/>
  <c r="F1271" i="20"/>
  <c r="F694" i="20"/>
  <c r="F1367" i="20"/>
  <c r="F183" i="20"/>
  <c r="F1662" i="20"/>
  <c r="F2023" i="20"/>
  <c r="F487" i="20"/>
  <c r="F252" i="20"/>
  <c r="F1050" i="20"/>
  <c r="F1972" i="20"/>
  <c r="F298" i="20"/>
  <c r="F1739" i="20"/>
  <c r="F1793" i="20"/>
  <c r="F1115" i="20"/>
  <c r="F1315" i="20"/>
  <c r="F1667" i="20"/>
  <c r="F557" i="20"/>
  <c r="F1247" i="20"/>
  <c r="F552" i="20"/>
  <c r="F1075" i="20"/>
  <c r="F1160" i="20"/>
  <c r="F1204" i="20"/>
  <c r="F1164" i="20"/>
  <c r="F1003" i="20"/>
  <c r="F385" i="20"/>
  <c r="F683" i="20"/>
  <c r="F884" i="20"/>
  <c r="F1019" i="20"/>
  <c r="F1249" i="20"/>
  <c r="F174" i="20"/>
  <c r="F165" i="20"/>
  <c r="F830" i="20"/>
  <c r="F788" i="20"/>
  <c r="F47" i="20"/>
  <c r="F969" i="20"/>
  <c r="F59" i="20"/>
  <c r="F1548" i="20"/>
  <c r="F15" i="20"/>
  <c r="F37" i="20"/>
  <c r="F1622" i="20"/>
  <c r="F659" i="20"/>
  <c r="F1845" i="20"/>
  <c r="F843" i="20"/>
  <c r="F313" i="20"/>
  <c r="F1574" i="20"/>
  <c r="F1134" i="20"/>
  <c r="F277" i="20"/>
  <c r="F451" i="20"/>
  <c r="F1760" i="20"/>
  <c r="F1483" i="20"/>
  <c r="F611" i="20"/>
  <c r="F97" i="20"/>
  <c r="F511" i="20"/>
  <c r="F1463" i="20"/>
  <c r="F275" i="20"/>
  <c r="F861" i="20"/>
  <c r="F1306" i="20"/>
  <c r="F626" i="20"/>
  <c r="F2031" i="20"/>
  <c r="F1535" i="20"/>
  <c r="F1450" i="20"/>
  <c r="F547" i="20"/>
  <c r="F928" i="20"/>
  <c r="F124" i="20"/>
  <c r="F1676" i="20"/>
  <c r="F672" i="20"/>
  <c r="F423" i="20"/>
  <c r="F1423" i="20"/>
  <c r="F20" i="20"/>
  <c r="F946" i="20"/>
  <c r="F1405" i="20"/>
  <c r="F495" i="20"/>
  <c r="F1121" i="20"/>
  <c r="F1406" i="20"/>
  <c r="F1194" i="20"/>
  <c r="F446" i="20"/>
  <c r="F545" i="20"/>
  <c r="F941" i="20"/>
  <c r="F1977" i="20"/>
  <c r="F241" i="20"/>
  <c r="F1221" i="20"/>
  <c r="F466" i="20"/>
  <c r="F1502" i="20"/>
  <c r="F321" i="20"/>
  <c r="F2025" i="20"/>
  <c r="F129" i="20"/>
  <c r="F998" i="20"/>
  <c r="F1378" i="20"/>
  <c r="F135" i="20"/>
  <c r="F1898" i="20"/>
  <c r="F580" i="20"/>
  <c r="F1426" i="20"/>
  <c r="F2026" i="20"/>
  <c r="F2003" i="20"/>
  <c r="F370" i="20"/>
  <c r="F142" i="20"/>
  <c r="F360" i="20"/>
  <c r="F1911" i="20"/>
  <c r="F243" i="20"/>
  <c r="F1612" i="20"/>
  <c r="F945" i="20"/>
  <c r="F1555" i="20"/>
  <c r="F834" i="20"/>
  <c r="F1133" i="20"/>
  <c r="F1778" i="20"/>
  <c r="F721" i="20"/>
  <c r="F1995" i="20"/>
  <c r="F1722" i="20"/>
  <c r="F1225" i="20"/>
  <c r="F723" i="20"/>
  <c r="F26" i="20"/>
  <c r="F1596" i="20"/>
  <c r="F1327" i="20"/>
  <c r="F1431" i="20"/>
  <c r="F404" i="20"/>
  <c r="F1256" i="20"/>
  <c r="F1637" i="20"/>
  <c r="F1388" i="20"/>
  <c r="F152" i="20"/>
  <c r="F1915" i="20"/>
  <c r="F1322" i="20"/>
  <c r="F760" i="20"/>
  <c r="F456" i="20"/>
  <c r="F669" i="20"/>
  <c r="F1299" i="20"/>
  <c r="F116" i="20"/>
  <c r="F1317" i="20"/>
  <c r="F319" i="20"/>
  <c r="F1978" i="20"/>
  <c r="F1988" i="20"/>
  <c r="F1648" i="20"/>
  <c r="F176" i="20"/>
  <c r="F761" i="20"/>
  <c r="F310" i="20"/>
  <c r="F378" i="20"/>
  <c r="F1162" i="20"/>
  <c r="F1520" i="20"/>
  <c r="F1837" i="20"/>
  <c r="F209" i="20"/>
  <c r="F1537" i="20"/>
  <c r="F41" i="20"/>
  <c r="F416" i="20"/>
  <c r="F582" i="20"/>
  <c r="F1772" i="20"/>
  <c r="F1362" i="20"/>
  <c r="F885" i="20"/>
  <c r="F952" i="20"/>
  <c r="F1128" i="20"/>
  <c r="F527" i="20"/>
  <c r="F1464" i="20"/>
  <c r="F976" i="20"/>
  <c r="F1969" i="20"/>
  <c r="F970" i="20"/>
  <c r="F1244" i="20"/>
  <c r="F1168" i="20"/>
  <c r="F1323" i="20"/>
  <c r="F1562" i="20"/>
  <c r="F489" i="20"/>
  <c r="F1159" i="20"/>
  <c r="F194" i="20"/>
  <c r="F1999" i="20"/>
  <c r="F1345" i="20"/>
  <c r="F1593" i="20"/>
  <c r="F529" i="20"/>
  <c r="F481" i="20"/>
  <c r="F1869" i="20"/>
  <c r="F1035" i="20"/>
  <c r="F1338" i="20"/>
  <c r="F1106" i="20"/>
  <c r="F16" i="20"/>
  <c r="F227" i="20"/>
  <c r="F1445" i="20"/>
  <c r="F276" i="20"/>
  <c r="F103" i="20"/>
  <c r="F199" i="20"/>
  <c r="F102" i="20"/>
  <c r="F1340" i="20"/>
  <c r="F1433" i="20"/>
  <c r="F1819" i="20"/>
  <c r="F781" i="20"/>
  <c r="F1034" i="20"/>
  <c r="F1175" i="20"/>
  <c r="F248" i="20"/>
  <c r="F819" i="20"/>
  <c r="F805" i="20"/>
  <c r="F1375" i="20"/>
  <c r="F1041" i="20"/>
  <c r="F2043" i="20"/>
  <c r="F1303" i="20"/>
  <c r="F25" i="20"/>
  <c r="F1566" i="20"/>
  <c r="F517" i="20"/>
  <c r="F475" i="20"/>
  <c r="F188" i="20"/>
  <c r="F1944" i="20"/>
  <c r="F1731" i="20"/>
  <c r="F374" i="20"/>
  <c r="F867" i="20"/>
  <c r="F1490" i="20"/>
  <c r="F597" i="20"/>
  <c r="F1409" i="20"/>
  <c r="F1682" i="20"/>
  <c r="F1688" i="20"/>
  <c r="F1588" i="20"/>
  <c r="F225" i="20"/>
  <c r="F254" i="20"/>
  <c r="F1735" i="20"/>
  <c r="F811" i="20"/>
  <c r="F1970" i="20"/>
  <c r="F39" i="20"/>
  <c r="F1395" i="20"/>
  <c r="F306" i="20"/>
  <c r="F911" i="20"/>
  <c r="F339" i="20"/>
  <c r="F991" i="20"/>
  <c r="F726" i="20"/>
  <c r="F954" i="20"/>
  <c r="F1335" i="20"/>
  <c r="F1320" i="20"/>
  <c r="F1334" i="20"/>
  <c r="F397" i="20"/>
  <c r="F638" i="20"/>
  <c r="F1382" i="20"/>
  <c r="F1081" i="20"/>
  <c r="F1218" i="20"/>
  <c r="F265" i="20"/>
  <c r="F794" i="20"/>
  <c r="F1757" i="20"/>
  <c r="F264" i="20"/>
  <c r="F1185" i="20"/>
  <c r="F1541" i="20"/>
  <c r="F256" i="20"/>
  <c r="F1167" i="20"/>
  <c r="F1033" i="20"/>
  <c r="F419" i="20"/>
  <c r="F1481" i="20"/>
  <c r="F244" i="20"/>
  <c r="F782" i="20"/>
  <c r="F938" i="20"/>
  <c r="F1858" i="20"/>
  <c r="F308" i="20"/>
  <c r="F1215" i="20"/>
  <c r="F542" i="20"/>
  <c r="F418" i="20"/>
  <c r="F1539" i="20"/>
  <c r="F875" i="20"/>
  <c r="F1130" i="20"/>
  <c r="F880" i="20"/>
  <c r="F855" i="20"/>
  <c r="F1740" i="20"/>
  <c r="F698" i="20"/>
  <c r="F1025" i="20"/>
  <c r="F1546" i="20"/>
  <c r="F906" i="20"/>
  <c r="F620" i="20"/>
  <c r="F1125" i="20"/>
  <c r="F311" i="20"/>
  <c r="F1656" i="20"/>
  <c r="F2017" i="20"/>
  <c r="F1239" i="20"/>
  <c r="F122" i="20"/>
  <c r="F707" i="20"/>
  <c r="F1993" i="20"/>
  <c r="F476" i="20"/>
  <c r="F112" i="20"/>
  <c r="F1321" i="20"/>
  <c r="F1282" i="20"/>
  <c r="F762" i="20"/>
  <c r="F865" i="20"/>
  <c r="F197" i="20"/>
  <c r="F798" i="20"/>
  <c r="F1083" i="20"/>
  <c r="F644" i="20"/>
  <c r="F1865" i="20"/>
  <c r="F284" i="20"/>
  <c r="F382" i="20"/>
  <c r="F1544" i="20"/>
  <c r="F1179" i="20"/>
  <c r="F874" i="20"/>
  <c r="F329" i="20"/>
  <c r="F1947" i="20"/>
  <c r="F1042" i="20"/>
  <c r="F939" i="20"/>
  <c r="F1633" i="20"/>
  <c r="F948" i="20"/>
  <c r="F753" i="20"/>
  <c r="F1670" i="20"/>
  <c r="F1354" i="20"/>
  <c r="F153" i="20"/>
  <c r="F549" i="20"/>
  <c r="F1553" i="20"/>
  <c r="F1578" i="20"/>
  <c r="F905" i="20"/>
  <c r="F1992" i="20"/>
  <c r="F422" i="20"/>
  <c r="F120" i="20"/>
  <c r="F812" i="20"/>
  <c r="F500" i="20"/>
  <c r="F1366" i="20"/>
  <c r="F704" i="20"/>
  <c r="F462" i="20"/>
  <c r="F1326" i="20"/>
  <c r="F687" i="20"/>
  <c r="F661" i="20"/>
  <c r="F921" i="20"/>
  <c r="F1595" i="20"/>
  <c r="F1935" i="20"/>
  <c r="F942" i="20"/>
  <c r="F266" i="20"/>
  <c r="F1859" i="20"/>
  <c r="F759" i="20"/>
  <c r="F2028" i="20"/>
  <c r="F2011" i="20"/>
  <c r="F1964" i="20"/>
  <c r="F1840" i="20"/>
  <c r="F832" i="20"/>
  <c r="F1101" i="20"/>
  <c r="F1810" i="20"/>
  <c r="F1144" i="20"/>
  <c r="F642" i="20"/>
  <c r="F1318" i="20"/>
  <c r="F634" i="20"/>
  <c r="F1910" i="20"/>
  <c r="F792" i="20"/>
  <c r="F1777" i="20"/>
  <c r="F53" i="20"/>
  <c r="F1296" i="20"/>
  <c r="F351" i="20"/>
  <c r="F837" i="20"/>
  <c r="F302" i="20"/>
  <c r="F737" i="20"/>
  <c r="F130" i="20"/>
  <c r="F1765" i="20"/>
  <c r="F1062" i="20"/>
  <c r="F1408" i="20"/>
  <c r="F878" i="20"/>
  <c r="F1629" i="20"/>
  <c r="F801" i="20"/>
  <c r="F1211" i="20"/>
  <c r="F1658" i="20"/>
  <c r="F35" i="20"/>
  <c r="F1980" i="20"/>
  <c r="F1659" i="20"/>
  <c r="F57" i="20"/>
  <c r="F1717" i="20"/>
  <c r="F1404" i="20"/>
  <c r="F793" i="20"/>
  <c r="F1604" i="20"/>
  <c r="F1860" i="20"/>
  <c r="F496" i="20"/>
  <c r="F1732" i="20"/>
  <c r="F1870" i="20"/>
  <c r="F1376" i="20"/>
  <c r="F1398" i="20"/>
  <c r="F438" i="20"/>
  <c r="F305" i="20"/>
  <c r="F189" i="20"/>
  <c r="F1269" i="20"/>
  <c r="F518" i="20"/>
  <c r="F27" i="20"/>
  <c r="F1813" i="20"/>
  <c r="F1324" i="20"/>
  <c r="F993" i="20"/>
  <c r="F1026" i="20"/>
  <c r="F1068" i="20"/>
  <c r="F1432" i="20"/>
  <c r="F1930" i="20"/>
  <c r="F363" i="20"/>
  <c r="F1131" i="20"/>
  <c r="F1530" i="20"/>
  <c r="F937" i="20"/>
  <c r="F1868" i="20"/>
  <c r="F929" i="20"/>
  <c r="F1198" i="20"/>
  <c r="F342" i="20"/>
  <c r="F1968" i="20"/>
  <c r="F1452" i="20"/>
  <c r="F650" i="20"/>
  <c r="F1879" i="20"/>
  <c r="F951" i="20"/>
  <c r="F282" i="20"/>
  <c r="F1599" i="20"/>
  <c r="F317" i="20"/>
  <c r="F494" i="20"/>
  <c r="F1965" i="20"/>
  <c r="F1974" i="20"/>
  <c r="F679" i="20"/>
  <c r="F525" i="20"/>
  <c r="F567" i="20"/>
  <c r="F145" i="20"/>
  <c r="F1989" i="20"/>
  <c r="F396" i="20"/>
  <c r="F288" i="20"/>
  <c r="F621" i="20"/>
  <c r="F467" i="20"/>
  <c r="F1165" i="20"/>
  <c r="F1780" i="20"/>
  <c r="F1298" i="20"/>
  <c r="F1348" i="20"/>
  <c r="F251" i="20"/>
  <c r="F1495" i="20"/>
  <c r="F56" i="20"/>
  <c r="F1678" i="20"/>
  <c r="F574" i="20"/>
  <c r="F1912" i="20"/>
  <c r="F1852" i="20"/>
  <c r="F583" i="20"/>
  <c r="F877" i="20"/>
  <c r="F1473" i="20"/>
  <c r="F1728" i="20"/>
  <c r="F338" i="20"/>
  <c r="F1770" i="20"/>
  <c r="F1646" i="20"/>
  <c r="F409" i="20"/>
  <c r="F98" i="20"/>
  <c r="F1626" i="20"/>
  <c r="F1032" i="20"/>
  <c r="F713" i="20"/>
  <c r="F1402" i="20"/>
  <c r="F1123" i="20"/>
  <c r="F1114" i="20"/>
  <c r="F1387" i="20"/>
  <c r="F767" i="20"/>
  <c r="F1838" i="20"/>
  <c r="F984" i="20"/>
  <c r="F2037" i="20"/>
  <c r="F173" i="20"/>
  <c r="F1815" i="20"/>
  <c r="F1214" i="20"/>
  <c r="F1809" i="20"/>
  <c r="F1157" i="20"/>
  <c r="F977" i="20"/>
  <c r="F537" i="20"/>
  <c r="F1618" i="20"/>
  <c r="F398" i="20"/>
  <c r="F804" i="20"/>
  <c r="F156" i="20"/>
  <c r="F2029" i="20"/>
  <c r="F1154" i="20"/>
  <c r="F1608" i="20"/>
  <c r="F1836" i="20"/>
  <c r="F755" i="20"/>
  <c r="F1833" i="20"/>
  <c r="F1883" i="20"/>
  <c r="F1625" i="20"/>
  <c r="F1480" i="20"/>
  <c r="F1187" i="20"/>
  <c r="F963" i="20"/>
  <c r="F1747" i="20"/>
  <c r="F1233" i="20"/>
  <c r="F901" i="20"/>
  <c r="F559" i="20"/>
  <c r="F326" i="20"/>
  <c r="F1705" i="20"/>
  <c r="F1711" i="20"/>
  <c r="F2010" i="20"/>
  <c r="F716" i="20"/>
  <c r="F1394" i="20"/>
  <c r="F544" i="20"/>
  <c r="F846" i="20"/>
  <c r="F42" i="20"/>
  <c r="F813" i="20"/>
  <c r="F1914" i="20"/>
  <c r="F1421" i="20"/>
  <c r="F1709" i="20"/>
  <c r="F612" i="20"/>
  <c r="F1873" i="20"/>
  <c r="F649" i="20"/>
  <c r="F1281" i="20"/>
  <c r="F1100" i="20"/>
  <c r="F1142" i="20"/>
  <c r="F995" i="20"/>
  <c r="F32" i="20"/>
  <c r="F676" i="20"/>
  <c r="F193" i="20"/>
  <c r="F1976" i="20"/>
  <c r="F708" i="20"/>
  <c r="F1064" i="20"/>
  <c r="F523" i="20"/>
  <c r="F1849" i="20"/>
  <c r="F220" i="20"/>
  <c r="F1224" i="20"/>
  <c r="F5" i="20"/>
  <c r="F1620" i="20"/>
  <c r="F2002" i="20"/>
  <c r="F13" i="20"/>
  <c r="F909" i="20"/>
  <c r="F93" i="20"/>
  <c r="F647" i="20"/>
  <c r="F1690" i="20"/>
  <c r="F2000" i="20"/>
  <c r="F592" i="20"/>
  <c r="F1181" i="20"/>
  <c r="F259" i="20"/>
  <c r="F369" i="20"/>
  <c r="F8" i="20"/>
  <c r="F1823" i="20"/>
  <c r="F437" i="20"/>
  <c r="F115" i="20"/>
  <c r="F746" i="20"/>
  <c r="F1692" i="20"/>
  <c r="F2014" i="20"/>
  <c r="F270" i="20"/>
  <c r="F579" i="20"/>
  <c r="F1505" i="20"/>
  <c r="F785" i="20"/>
  <c r="F314" i="20"/>
  <c r="F24" i="20"/>
  <c r="F435" i="20"/>
  <c r="F439" i="20"/>
  <c r="F23" i="20"/>
  <c r="F1403" i="20"/>
  <c r="F1290" i="20"/>
  <c r="F216" i="20"/>
  <c r="F1613" i="20"/>
  <c r="F1580" i="20"/>
  <c r="F1503" i="20"/>
  <c r="F541" i="20"/>
  <c r="F414" i="20"/>
  <c r="F1425" i="20"/>
  <c r="F19" i="20"/>
  <c r="F325" i="20"/>
  <c r="F1753" i="20"/>
  <c r="F1005" i="20"/>
  <c r="F1337" i="20"/>
  <c r="F1499" i="20"/>
  <c r="F745" i="20"/>
  <c r="F1297" i="20"/>
  <c r="F1369" i="20"/>
  <c r="F961" i="20"/>
  <c r="F1900" i="20"/>
  <c r="F40" i="20"/>
  <c r="F1594" i="20"/>
  <c r="F1030" i="20"/>
  <c r="F1063" i="20"/>
  <c r="F965" i="20"/>
  <c r="F1796" i="20"/>
  <c r="F105" i="20"/>
  <c r="F293" i="20"/>
  <c r="F1814" i="20"/>
  <c r="F147" i="20"/>
  <c r="F930" i="20"/>
  <c r="F1808" i="20"/>
  <c r="F1428" i="20"/>
  <c r="F9" i="20"/>
  <c r="F2013" i="20"/>
  <c r="F1983" i="20"/>
  <c r="F221" i="20"/>
  <c r="F584" i="20"/>
  <c r="F666" i="20"/>
  <c r="F1076" i="20"/>
  <c r="F1055" i="20"/>
  <c r="F491" i="20"/>
  <c r="F789" i="20"/>
  <c r="F17" i="20"/>
  <c r="F1178" i="20"/>
  <c r="F111" i="20"/>
  <c r="F364" i="20"/>
  <c r="E62" i="16"/>
  <c r="E40" i="16"/>
  <c r="E63" i="16"/>
  <c r="E42" i="16"/>
  <c r="E59" i="16"/>
  <c r="E38" i="16"/>
  <c r="B11" i="17" l="1"/>
  <c r="D11" i="17" s="1"/>
  <c r="C12" i="17"/>
  <c r="J44" i="1"/>
  <c r="J43" i="1"/>
  <c r="J40" i="1"/>
  <c r="J42" i="1"/>
  <c r="J39" i="1"/>
  <c r="J41" i="1"/>
  <c r="J37" i="1"/>
  <c r="J38" i="1"/>
  <c r="J36" i="1"/>
  <c r="L66" i="16"/>
  <c r="L68" i="16"/>
  <c r="L67" i="16"/>
  <c r="L30" i="16"/>
  <c r="L29" i="16"/>
  <c r="L26" i="16"/>
  <c r="L28" i="16"/>
  <c r="L27" i="16"/>
  <c r="J9" i="20"/>
  <c r="I9" i="20"/>
  <c r="H9" i="20"/>
  <c r="K8" i="20"/>
  <c r="H30" i="16"/>
  <c r="C30" i="16"/>
  <c r="H26" i="16"/>
  <c r="H29" i="16"/>
  <c r="C28" i="16"/>
  <c r="H28" i="16"/>
  <c r="C24" i="16"/>
  <c r="C23" i="16"/>
  <c r="C22" i="16"/>
  <c r="H27" i="16"/>
  <c r="C26" i="16"/>
  <c r="C27" i="16"/>
  <c r="C29" i="16"/>
  <c r="C25" i="16"/>
  <c r="H31" i="16"/>
  <c r="C31" i="16"/>
  <c r="L31" i="16"/>
  <c r="J35" i="1"/>
  <c r="J34" i="1"/>
  <c r="K33" i="1"/>
  <c r="L53" i="1"/>
  <c r="K53" i="1"/>
  <c r="I53" i="1"/>
  <c r="I33" i="1"/>
  <c r="J33" i="1"/>
  <c r="I42" i="1"/>
  <c r="J15" i="1"/>
  <c r="J30" i="1"/>
  <c r="I14" i="1"/>
  <c r="J26" i="1"/>
  <c r="K15" i="1"/>
  <c r="K42" i="1"/>
  <c r="J14" i="1"/>
  <c r="J16" i="1"/>
  <c r="L52" i="1"/>
  <c r="K14" i="1"/>
  <c r="K38" i="1"/>
  <c r="K16" i="1"/>
  <c r="J24" i="1"/>
  <c r="O22" i="16"/>
  <c r="Q21" i="16"/>
  <c r="I16" i="1"/>
  <c r="K52" i="1"/>
  <c r="J28" i="1"/>
  <c r="K44" i="1"/>
  <c r="I44" i="1"/>
  <c r="I52" i="1"/>
  <c r="J27" i="1"/>
  <c r="J29" i="1"/>
  <c r="I37" i="1"/>
  <c r="I15" i="1"/>
  <c r="J31" i="1"/>
  <c r="I51" i="1"/>
  <c r="K51" i="1"/>
  <c r="L51" i="1"/>
  <c r="J23" i="1"/>
  <c r="I23" i="1"/>
  <c r="K23" i="1"/>
  <c r="K37" i="1"/>
  <c r="K12" i="1"/>
  <c r="J32" i="1"/>
  <c r="I12" i="1"/>
  <c r="I38" i="1"/>
  <c r="J12" i="1"/>
  <c r="K17" i="1"/>
  <c r="J25" i="1"/>
  <c r="I45" i="1"/>
  <c r="K45" i="1"/>
  <c r="K36" i="1"/>
  <c r="I7" i="1"/>
  <c r="K7" i="1"/>
  <c r="J7" i="1"/>
  <c r="K46" i="1"/>
  <c r="I46" i="1"/>
  <c r="I43" i="1"/>
  <c r="I18" i="1"/>
  <c r="I48" i="1"/>
  <c r="K48" i="1"/>
  <c r="L48" i="1"/>
  <c r="K49" i="1"/>
  <c r="I49" i="1"/>
  <c r="L49" i="1"/>
  <c r="L50" i="1"/>
  <c r="I50" i="1"/>
  <c r="K50" i="1"/>
  <c r="K43" i="1"/>
  <c r="I47" i="1"/>
  <c r="K47" i="1"/>
  <c r="L47" i="1"/>
  <c r="K28" i="1"/>
  <c r="I29" i="1"/>
  <c r="I17" i="1"/>
  <c r="I39" i="1"/>
  <c r="K27" i="1"/>
  <c r="J17" i="1"/>
  <c r="I28" i="1"/>
  <c r="K29" i="1"/>
  <c r="K41" i="1"/>
  <c r="J18" i="1"/>
  <c r="K18" i="1"/>
  <c r="I19" i="1"/>
  <c r="K19" i="1"/>
  <c r="J10" i="1"/>
  <c r="J19" i="1"/>
  <c r="J5" i="1"/>
  <c r="I20" i="1"/>
  <c r="K40" i="1"/>
  <c r="I40" i="1"/>
  <c r="K13" i="1"/>
  <c r="J13" i="1"/>
  <c r="I13" i="1"/>
  <c r="K5" i="1"/>
  <c r="I30" i="1"/>
  <c r="I22" i="1"/>
  <c r="K22" i="1"/>
  <c r="J22" i="1"/>
  <c r="I5" i="1"/>
  <c r="K30" i="1"/>
  <c r="K20" i="1"/>
  <c r="J20" i="1"/>
  <c r="I31" i="1"/>
  <c r="I11" i="1"/>
  <c r="K11" i="1"/>
  <c r="J11" i="1"/>
  <c r="I41" i="1"/>
  <c r="K31" i="1"/>
  <c r="I24" i="1"/>
  <c r="K34" i="1"/>
  <c r="I34" i="1"/>
  <c r="K24" i="1"/>
  <c r="I10" i="1"/>
  <c r="K10" i="1"/>
  <c r="K39" i="1"/>
  <c r="I27" i="1"/>
  <c r="I32" i="1"/>
  <c r="G17" i="16" s="1"/>
  <c r="K32" i="1"/>
  <c r="I36" i="1"/>
  <c r="I35" i="1"/>
  <c r="K35" i="1"/>
  <c r="K25" i="1"/>
  <c r="I25" i="1"/>
  <c r="K26" i="1"/>
  <c r="I26" i="1"/>
  <c r="J21" i="1"/>
  <c r="K21" i="1"/>
  <c r="I21" i="1"/>
  <c r="H23" i="16"/>
  <c r="H24" i="16"/>
  <c r="H25" i="16"/>
  <c r="L24" i="16"/>
  <c r="L65" i="16"/>
  <c r="H22" i="16"/>
  <c r="L61" i="16"/>
  <c r="L23" i="16"/>
  <c r="L64" i="16"/>
  <c r="L25" i="16"/>
  <c r="L22" i="16"/>
  <c r="K8" i="1"/>
  <c r="J8" i="1"/>
  <c r="I8" i="1"/>
  <c r="K6" i="1"/>
  <c r="I6" i="1"/>
  <c r="J6" i="1"/>
  <c r="K9" i="1"/>
  <c r="I9" i="1"/>
  <c r="J9" i="1"/>
  <c r="C13" i="17" l="1"/>
  <c r="B12" i="17"/>
  <c r="D12" i="17" s="1"/>
  <c r="G48" i="16"/>
  <c r="L48" i="16" s="1"/>
  <c r="G36" i="16"/>
  <c r="L36" i="16" s="1"/>
  <c r="G50" i="16"/>
  <c r="L50" i="16" s="1"/>
  <c r="G43" i="16"/>
  <c r="L43" i="16" s="1"/>
  <c r="G49" i="16"/>
  <c r="L49" i="16" s="1"/>
  <c r="G47" i="16"/>
  <c r="L47" i="16" s="1"/>
  <c r="G16" i="16"/>
  <c r="K9" i="20"/>
  <c r="I10" i="20"/>
  <c r="H10" i="20"/>
  <c r="J10" i="20"/>
  <c r="G18" i="16"/>
  <c r="G45" i="16"/>
  <c r="L45" i="16" s="1"/>
  <c r="G44" i="16"/>
  <c r="L44" i="16" s="1"/>
  <c r="G51" i="16"/>
  <c r="L51" i="16" s="1"/>
  <c r="G41" i="16"/>
  <c r="L41" i="16" s="1"/>
  <c r="G35" i="16"/>
  <c r="L35" i="16" s="1"/>
  <c r="G52" i="16"/>
  <c r="L52" i="16" s="1"/>
  <c r="G13" i="16"/>
  <c r="G46" i="16"/>
  <c r="L46" i="16" s="1"/>
  <c r="G15" i="16"/>
  <c r="G57" i="16"/>
  <c r="L57" i="16" s="1"/>
  <c r="G56" i="16"/>
  <c r="L56" i="16" s="1"/>
  <c r="G37" i="16"/>
  <c r="L37" i="16" s="1"/>
  <c r="G58" i="16"/>
  <c r="L58" i="16" s="1"/>
  <c r="G60" i="16"/>
  <c r="L60" i="16" s="1"/>
  <c r="G39" i="16"/>
  <c r="L39" i="16" s="1"/>
  <c r="G14" i="16"/>
  <c r="L20" i="16"/>
  <c r="I23" i="16" s="1"/>
  <c r="J23" i="16" s="1"/>
  <c r="K23" i="16" s="1"/>
  <c r="C20" i="16"/>
  <c r="H20" i="16"/>
  <c r="J3" i="1"/>
  <c r="G40" i="16"/>
  <c r="G62" i="16"/>
  <c r="I3" i="1"/>
  <c r="L43" i="1" s="1"/>
  <c r="G38" i="16"/>
  <c r="G59" i="16"/>
  <c r="G63" i="16"/>
  <c r="G42" i="16"/>
  <c r="B13" i="17" l="1"/>
  <c r="D13" i="17" s="1"/>
  <c r="C14" i="17"/>
  <c r="L46" i="1"/>
  <c r="L45" i="1"/>
  <c r="L44" i="1"/>
  <c r="L38" i="1"/>
  <c r="L42" i="1"/>
  <c r="L41" i="1"/>
  <c r="L40" i="1"/>
  <c r="L39" i="1"/>
  <c r="L34" i="1"/>
  <c r="L37" i="1"/>
  <c r="L36" i="1"/>
  <c r="I26" i="16"/>
  <c r="J26" i="16" s="1"/>
  <c r="K26" i="16" s="1"/>
  <c r="K10" i="20"/>
  <c r="I11" i="20"/>
  <c r="H11" i="20"/>
  <c r="J11" i="20"/>
  <c r="I30" i="16"/>
  <c r="J30" i="16" s="1"/>
  <c r="K30" i="16" s="1"/>
  <c r="I31" i="16"/>
  <c r="J31" i="16" s="1"/>
  <c r="K31" i="16" s="1"/>
  <c r="I29" i="16"/>
  <c r="J29" i="16" s="1"/>
  <c r="K29" i="16" s="1"/>
  <c r="I28" i="16"/>
  <c r="J28" i="16" s="1"/>
  <c r="K28" i="16" s="1"/>
  <c r="I27" i="16"/>
  <c r="J27" i="16" s="1"/>
  <c r="K27" i="16" s="1"/>
  <c r="L35" i="1"/>
  <c r="I24" i="16"/>
  <c r="J24" i="16" s="1"/>
  <c r="K24" i="16" s="1"/>
  <c r="G11" i="16"/>
  <c r="O12" i="16" s="1"/>
  <c r="L18" i="16" s="1"/>
  <c r="L33" i="1"/>
  <c r="L32" i="1"/>
  <c r="L27" i="1"/>
  <c r="L26" i="1"/>
  <c r="L31" i="1"/>
  <c r="L24" i="1"/>
  <c r="L30" i="1"/>
  <c r="L29" i="1"/>
  <c r="L25" i="1"/>
  <c r="L28" i="1"/>
  <c r="L8" i="1"/>
  <c r="L23" i="1"/>
  <c r="I22" i="16"/>
  <c r="J22" i="16" s="1"/>
  <c r="K22" i="16" s="1"/>
  <c r="I25" i="16"/>
  <c r="L42" i="16"/>
  <c r="L63" i="16"/>
  <c r="L59" i="16"/>
  <c r="G54" i="16"/>
  <c r="O56" i="16" s="1"/>
  <c r="O57" i="16" s="1"/>
  <c r="L38" i="16"/>
  <c r="G33" i="16"/>
  <c r="O35" i="16" s="1"/>
  <c r="L22" i="1"/>
  <c r="L10" i="1"/>
  <c r="L12" i="1"/>
  <c r="L7" i="1"/>
  <c r="L19" i="1"/>
  <c r="L17" i="1"/>
  <c r="L16" i="1"/>
  <c r="L13" i="1"/>
  <c r="L5" i="1"/>
  <c r="L11" i="1"/>
  <c r="L15" i="1"/>
  <c r="L20" i="1"/>
  <c r="L21" i="1"/>
  <c r="L18" i="1"/>
  <c r="L14" i="1"/>
  <c r="L9" i="1"/>
  <c r="L6" i="1"/>
  <c r="L62" i="16"/>
  <c r="L40" i="16"/>
  <c r="C15" i="17" l="1"/>
  <c r="B14" i="17"/>
  <c r="D14" i="17" s="1"/>
  <c r="J12" i="20"/>
  <c r="H12" i="20"/>
  <c r="I12" i="20"/>
  <c r="K11" i="20"/>
  <c r="C13" i="16"/>
  <c r="C18" i="16"/>
  <c r="H16" i="16"/>
  <c r="H18" i="16"/>
  <c r="C15" i="16"/>
  <c r="I9" i="16"/>
  <c r="J9" i="16" s="1"/>
  <c r="K9" i="16" s="1"/>
  <c r="L17" i="16"/>
  <c r="L14" i="16"/>
  <c r="C14" i="16"/>
  <c r="I3" i="16"/>
  <c r="J3" i="16" s="1"/>
  <c r="K3" i="16" s="1"/>
  <c r="L5" i="16"/>
  <c r="L8" i="16"/>
  <c r="H13" i="16"/>
  <c r="O13" i="16"/>
  <c r="L16" i="16"/>
  <c r="H14" i="16"/>
  <c r="L3" i="16"/>
  <c r="I7" i="16"/>
  <c r="J7" i="16" s="1"/>
  <c r="K7" i="16" s="1"/>
  <c r="H15" i="16"/>
  <c r="L6" i="16"/>
  <c r="L15" i="16"/>
  <c r="I4" i="16"/>
  <c r="J4" i="16" s="1"/>
  <c r="K4" i="16" s="1"/>
  <c r="L13" i="16"/>
  <c r="I8" i="16"/>
  <c r="J8" i="16" s="1"/>
  <c r="K8" i="16" s="1"/>
  <c r="H17" i="16"/>
  <c r="L4" i="16"/>
  <c r="I5" i="16"/>
  <c r="J5" i="16" s="1"/>
  <c r="K5" i="16" s="1"/>
  <c r="I6" i="16"/>
  <c r="J6" i="16" s="1"/>
  <c r="K6" i="16" s="1"/>
  <c r="L9" i="16"/>
  <c r="C16" i="16"/>
  <c r="L7" i="16"/>
  <c r="C17" i="16"/>
  <c r="C42" i="16"/>
  <c r="H51" i="16"/>
  <c r="H49" i="16"/>
  <c r="H47" i="16"/>
  <c r="C50" i="16"/>
  <c r="H50" i="16"/>
  <c r="H48" i="16"/>
  <c r="C49" i="16"/>
  <c r="C47" i="16"/>
  <c r="C51" i="16"/>
  <c r="C48" i="16"/>
  <c r="J25" i="16"/>
  <c r="I20" i="16"/>
  <c r="C40" i="16"/>
  <c r="C62" i="16"/>
  <c r="C38" i="16"/>
  <c r="C59" i="16"/>
  <c r="C63" i="16"/>
  <c r="H62" i="16"/>
  <c r="H44" i="16"/>
  <c r="H66" i="16"/>
  <c r="C45" i="16"/>
  <c r="H46" i="16"/>
  <c r="C64" i="16"/>
  <c r="C46" i="16"/>
  <c r="H57" i="16"/>
  <c r="H40" i="16"/>
  <c r="H65" i="16"/>
  <c r="H58" i="16"/>
  <c r="C67" i="16"/>
  <c r="C61" i="16"/>
  <c r="H42" i="16"/>
  <c r="H36" i="16"/>
  <c r="H43" i="16"/>
  <c r="H45" i="16"/>
  <c r="H63" i="16"/>
  <c r="C66" i="16"/>
  <c r="H60" i="16"/>
  <c r="H37" i="16"/>
  <c r="H41" i="16"/>
  <c r="H68" i="16"/>
  <c r="H52" i="16"/>
  <c r="C65" i="16"/>
  <c r="H59" i="16"/>
  <c r="C43" i="16"/>
  <c r="C68" i="16"/>
  <c r="C44" i="16"/>
  <c r="H39" i="16"/>
  <c r="H64" i="16"/>
  <c r="H61" i="16"/>
  <c r="H67" i="16"/>
  <c r="C52" i="16"/>
  <c r="H35" i="16"/>
  <c r="H56" i="16"/>
  <c r="O36" i="16"/>
  <c r="H38" i="16"/>
  <c r="C41" i="16"/>
  <c r="C37" i="16"/>
  <c r="C57" i="16"/>
  <c r="C58" i="16"/>
  <c r="C60" i="16"/>
  <c r="C35" i="16"/>
  <c r="C56" i="16"/>
  <c r="C36" i="16"/>
  <c r="C39" i="16"/>
  <c r="L33" i="16"/>
  <c r="L3" i="1"/>
  <c r="L54" i="16"/>
  <c r="C16" i="17" l="1"/>
  <c r="B15" i="17"/>
  <c r="D15" i="17" s="1"/>
  <c r="K12" i="20"/>
  <c r="I36" i="16"/>
  <c r="J36" i="16" s="1"/>
  <c r="K36" i="16" s="1"/>
  <c r="I13" i="16"/>
  <c r="J13" i="16" s="1"/>
  <c r="K13" i="16" s="1"/>
  <c r="L11" i="16"/>
  <c r="I15" i="16" s="1"/>
  <c r="J15" i="16" s="1"/>
  <c r="K1" i="16"/>
  <c r="C11" i="16"/>
  <c r="L1" i="16"/>
  <c r="H11" i="16"/>
  <c r="J1" i="16"/>
  <c r="I1" i="16"/>
  <c r="I50" i="16"/>
  <c r="J50" i="16" s="1"/>
  <c r="K50" i="16" s="1"/>
  <c r="C33" i="16"/>
  <c r="A33" i="16" s="1"/>
  <c r="I48" i="16"/>
  <c r="J48" i="16" s="1"/>
  <c r="K48" i="16" s="1"/>
  <c r="I51" i="16"/>
  <c r="J51" i="16" s="1"/>
  <c r="K51" i="16" s="1"/>
  <c r="I47" i="16"/>
  <c r="J47" i="16" s="1"/>
  <c r="K47" i="16" s="1"/>
  <c r="I49" i="16"/>
  <c r="J49" i="16" s="1"/>
  <c r="K49" i="16" s="1"/>
  <c r="I66" i="16"/>
  <c r="J66" i="16" s="1"/>
  <c r="K66" i="16" s="1"/>
  <c r="K25" i="16"/>
  <c r="K20" i="16" s="1"/>
  <c r="J20" i="16"/>
  <c r="I68" i="16"/>
  <c r="J68" i="16" s="1"/>
  <c r="K68" i="16" s="1"/>
  <c r="I44" i="16"/>
  <c r="J44" i="16" s="1"/>
  <c r="K44" i="16" s="1"/>
  <c r="C54" i="16"/>
  <c r="A54" i="16" s="1"/>
  <c r="I52" i="16"/>
  <c r="J52" i="16" s="1"/>
  <c r="K52" i="16" s="1"/>
  <c r="I41" i="16"/>
  <c r="J41" i="16" s="1"/>
  <c r="K41" i="16" s="1"/>
  <c r="I62" i="16"/>
  <c r="J62" i="16" s="1"/>
  <c r="K62" i="16" s="1"/>
  <c r="I59" i="16"/>
  <c r="J59" i="16" s="1"/>
  <c r="K59" i="16" s="1"/>
  <c r="I38" i="16"/>
  <c r="J38" i="16" s="1"/>
  <c r="K38" i="16" s="1"/>
  <c r="I40" i="16"/>
  <c r="J40" i="16" s="1"/>
  <c r="K40" i="16" s="1"/>
  <c r="I63" i="16"/>
  <c r="J63" i="16" s="1"/>
  <c r="K63" i="16" s="1"/>
  <c r="I35" i="16"/>
  <c r="H33" i="16"/>
  <c r="I45" i="16"/>
  <c r="J45" i="16" s="1"/>
  <c r="K45" i="16" s="1"/>
  <c r="I56" i="16"/>
  <c r="H54" i="16"/>
  <c r="I43" i="16"/>
  <c r="J43" i="16" s="1"/>
  <c r="K43" i="16" s="1"/>
  <c r="I60" i="16"/>
  <c r="J60" i="16" s="1"/>
  <c r="K60" i="16" s="1"/>
  <c r="I67" i="16"/>
  <c r="J67" i="16" s="1"/>
  <c r="K67" i="16" s="1"/>
  <c r="I37" i="16"/>
  <c r="J37" i="16" s="1"/>
  <c r="K37" i="16" s="1"/>
  <c r="I61" i="16"/>
  <c r="J61" i="16" s="1"/>
  <c r="K61" i="16" s="1"/>
  <c r="I42" i="16"/>
  <c r="J42" i="16" s="1"/>
  <c r="K42" i="16" s="1"/>
  <c r="I46" i="16"/>
  <c r="J46" i="16" s="1"/>
  <c r="K46" i="16" s="1"/>
  <c r="I39" i="16"/>
  <c r="J39" i="16" s="1"/>
  <c r="K39" i="16" s="1"/>
  <c r="I58" i="16"/>
  <c r="J58" i="16" s="1"/>
  <c r="K58" i="16" s="1"/>
  <c r="I64" i="16"/>
  <c r="J64" i="16" s="1"/>
  <c r="K64" i="16" s="1"/>
  <c r="I65" i="16"/>
  <c r="J65" i="16" s="1"/>
  <c r="K65" i="16" s="1"/>
  <c r="I57" i="16"/>
  <c r="J57" i="16" s="1"/>
  <c r="K57" i="16" s="1"/>
  <c r="B16" i="17" l="1"/>
  <c r="D16" i="17" s="1"/>
  <c r="C17" i="17"/>
  <c r="I14" i="16"/>
  <c r="J14" i="16" s="1"/>
  <c r="K14" i="16" s="1"/>
  <c r="I16" i="16"/>
  <c r="J16" i="16" s="1"/>
  <c r="K16" i="16" s="1"/>
  <c r="I17" i="16"/>
  <c r="J17" i="16" s="1"/>
  <c r="K17" i="16" s="1"/>
  <c r="I18" i="16"/>
  <c r="J18" i="16" s="1"/>
  <c r="K18" i="16" s="1"/>
  <c r="K15" i="16"/>
  <c r="I54" i="16"/>
  <c r="J56" i="16"/>
  <c r="J35" i="16"/>
  <c r="I33" i="16"/>
  <c r="B17" i="17" l="1"/>
  <c r="D17" i="17" s="1"/>
  <c r="C18" i="17"/>
  <c r="J11" i="16"/>
  <c r="K11" i="16"/>
  <c r="I11" i="16"/>
  <c r="K56" i="16"/>
  <c r="K54" i="16" s="1"/>
  <c r="J54" i="16"/>
  <c r="K35" i="16"/>
  <c r="K33" i="16" s="1"/>
  <c r="J33" i="16"/>
  <c r="C19" i="17" l="1"/>
  <c r="B18" i="17"/>
  <c r="D18" i="17" s="1"/>
  <c r="C20" i="17" l="1"/>
  <c r="B19" i="17"/>
  <c r="D19" i="17" s="1"/>
  <c r="C21" i="17" l="1"/>
  <c r="B20" i="17"/>
  <c r="D20" i="17" s="1"/>
  <c r="B21" i="17" l="1"/>
  <c r="D21" i="17" s="1"/>
  <c r="C22" i="17"/>
  <c r="C23" i="17" l="1"/>
  <c r="B22" i="17"/>
  <c r="D22" i="17" s="1"/>
  <c r="C24" i="17" l="1"/>
  <c r="B23" i="17"/>
  <c r="D23" i="17" s="1"/>
  <c r="C25" i="17" l="1"/>
  <c r="B24" i="17"/>
  <c r="D24" i="17" s="1"/>
  <c r="C26" i="17" l="1"/>
  <c r="B25" i="17"/>
  <c r="D25" i="17" s="1"/>
  <c r="C27" i="17" l="1"/>
  <c r="B27" i="17" s="1"/>
  <c r="D27" i="17" s="1"/>
  <c r="B26" i="17"/>
  <c r="D2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Vinícius Yamashiro</author>
  </authors>
  <commentList>
    <comment ref="E3" authorId="0" shapeId="0" xr:uid="{EAB95A5B-C50A-4237-878F-26E6DFCB2D2F}">
      <text>
        <r>
          <rPr>
            <b/>
            <sz val="9"/>
            <color indexed="81"/>
            <rFont val="Segoe UI"/>
            <family val="2"/>
          </rPr>
          <t>Não apagar fórmulas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2D1174-5740-4658-B1C4-D84BAF12E8AE}" keepAlive="1" name="Consulta - Table 0" description="Conexão com a consulta 'Table 0' na pasta de trabalho." type="5" refreshedVersion="8"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30">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0"/>
        </ext>
      </extLst>
    </bk>
    <bk>
      <extLst>
        <ext uri="{3e2802c4-a4d2-4d8b-9148-e3be6c30e623}">
          <xlrd:rvb i="13"/>
        </ext>
      </extLst>
    </bk>
    <bk>
      <extLst>
        <ext uri="{3e2802c4-a4d2-4d8b-9148-e3be6c30e623}">
          <xlrd:rvb i="16"/>
        </ext>
      </extLst>
    </bk>
    <bk>
      <extLst>
        <ext uri="{3e2802c4-a4d2-4d8b-9148-e3be6c30e623}">
          <xlrd:rvb i="19"/>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2"/>
        </ext>
      </extLst>
    </bk>
    <bk>
      <extLst>
        <ext uri="{3e2802c4-a4d2-4d8b-9148-e3be6c30e623}">
          <xlrd:rvb i="55"/>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5"/>
        </ext>
      </extLst>
    </bk>
    <bk>
      <extLst>
        <ext uri="{3e2802c4-a4d2-4d8b-9148-e3be6c30e623}">
          <xlrd:rvb i="87"/>
        </ext>
      </extLst>
    </bk>
  </futureMetadata>
  <futureMetadata name="XLDAPR" count="1">
    <bk>
      <extLst>
        <ext uri="{bdbb8cdc-fa1e-496e-a857-3c3f30c029c3}">
          <xda:dynamicArrayProperties fDynamic="1" fCollapsed="0"/>
        </ext>
      </extLst>
    </bk>
  </futureMetadata>
  <cellMetadata count="1">
    <bk>
      <rc t="2" v="0"/>
    </bk>
  </cellMetadata>
  <valueMetadata count="3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valueMetadata>
</metadata>
</file>

<file path=xl/sharedStrings.xml><?xml version="1.0" encoding="utf-8"?>
<sst xmlns="http://schemas.openxmlformats.org/spreadsheetml/2006/main" count="3316" uniqueCount="3080">
  <si>
    <t>Ativo</t>
  </si>
  <si>
    <t>Preço Atual</t>
  </si>
  <si>
    <t>%Chg</t>
  </si>
  <si>
    <t>Ticker</t>
  </si>
  <si>
    <t>Posição Atual</t>
  </si>
  <si>
    <t>%Patrimonio</t>
  </si>
  <si>
    <t>Preço Excel</t>
  </si>
  <si>
    <t>Preço Atual Manual</t>
  </si>
  <si>
    <t xml:space="preserve">Fonte de Dados </t>
  </si>
  <si>
    <t>Manual</t>
  </si>
  <si>
    <t>Data</t>
  </si>
  <si>
    <t>Qtd</t>
  </si>
  <si>
    <t>Preco</t>
  </si>
  <si>
    <t>C/V</t>
  </si>
  <si>
    <t>Preço Médio</t>
  </si>
  <si>
    <t>Corretagem</t>
  </si>
  <si>
    <t>Taxas</t>
  </si>
  <si>
    <t>Ação</t>
  </si>
  <si>
    <t>FII</t>
  </si>
  <si>
    <t>Exterior</t>
  </si>
  <si>
    <t>Patrimonio Investido</t>
  </si>
  <si>
    <t>Dolar Dia</t>
  </si>
  <si>
    <t>Patrimonio Total</t>
  </si>
  <si>
    <t>Aporte</t>
  </si>
  <si>
    <t>Tipo</t>
  </si>
  <si>
    <t>% Ideal</t>
  </si>
  <si>
    <t>% Atual</t>
  </si>
  <si>
    <t>Valor Investido</t>
  </si>
  <si>
    <t>Valor Atual</t>
  </si>
  <si>
    <t>Valor Ideal</t>
  </si>
  <si>
    <t>Quanto Falta</t>
  </si>
  <si>
    <t>Ações</t>
  </si>
  <si>
    <t>Corretora</t>
  </si>
  <si>
    <t>Investimento</t>
  </si>
  <si>
    <t>Internacional</t>
  </si>
  <si>
    <t>Grupo</t>
  </si>
  <si>
    <t>Crypto</t>
  </si>
  <si>
    <t>Preco Médio</t>
  </si>
  <si>
    <t>BTC</t>
  </si>
  <si>
    <t>Preço Real</t>
  </si>
  <si>
    <t>Corretagem Real</t>
  </si>
  <si>
    <t>Taxa Real</t>
  </si>
  <si>
    <t>ETHBTC</t>
  </si>
  <si>
    <t>symbol</t>
  </si>
  <si>
    <t>price</t>
  </si>
  <si>
    <t>LTCBTC</t>
  </si>
  <si>
    <t>BNBBTC</t>
  </si>
  <si>
    <t>NEOBTC</t>
  </si>
  <si>
    <t>QTUMETH</t>
  </si>
  <si>
    <t>EOSETH</t>
  </si>
  <si>
    <t>SNTETH</t>
  </si>
  <si>
    <t>BNTETH</t>
  </si>
  <si>
    <t>BCCBTC</t>
  </si>
  <si>
    <t>GASBTC</t>
  </si>
  <si>
    <t>BNBETH</t>
  </si>
  <si>
    <t>BTCUSDT</t>
  </si>
  <si>
    <t>ETHUSDT</t>
  </si>
  <si>
    <t>HSRBTC</t>
  </si>
  <si>
    <t>OAXETH</t>
  </si>
  <si>
    <t>DNTETH</t>
  </si>
  <si>
    <t>MCOETH</t>
  </si>
  <si>
    <t>ICNETH</t>
  </si>
  <si>
    <t>MCOBTC</t>
  </si>
  <si>
    <t>WTCBTC</t>
  </si>
  <si>
    <t>WTCETH</t>
  </si>
  <si>
    <t>LRCBTC</t>
  </si>
  <si>
    <t>LRCETH</t>
  </si>
  <si>
    <t>QTUMBTC</t>
  </si>
  <si>
    <t>YOYOBTC</t>
  </si>
  <si>
    <t>OMGBTC</t>
  </si>
  <si>
    <t>OMGETH</t>
  </si>
  <si>
    <t>ZRXBTC</t>
  </si>
  <si>
    <t>ZRXETH</t>
  </si>
  <si>
    <t>STRATBTC</t>
  </si>
  <si>
    <t>STRATETH</t>
  </si>
  <si>
    <t>SNGLSBTC</t>
  </si>
  <si>
    <t>SNGLSETH</t>
  </si>
  <si>
    <t>BQXBTC</t>
  </si>
  <si>
    <t>BQXETH</t>
  </si>
  <si>
    <t>KNCBTC</t>
  </si>
  <si>
    <t>KNCETH</t>
  </si>
  <si>
    <t>FUNBTC</t>
  </si>
  <si>
    <t>FUNETH</t>
  </si>
  <si>
    <t>SNMBTC</t>
  </si>
  <si>
    <t>SNMETH</t>
  </si>
  <si>
    <t>NEOETH</t>
  </si>
  <si>
    <t>IOTABTC</t>
  </si>
  <si>
    <t>IOTAETH</t>
  </si>
  <si>
    <t>LINKBTC</t>
  </si>
  <si>
    <t>LINKETH</t>
  </si>
  <si>
    <t>XVGBTC</t>
  </si>
  <si>
    <t>XVGETH</t>
  </si>
  <si>
    <t>SALTBTC</t>
  </si>
  <si>
    <t>SALTETH</t>
  </si>
  <si>
    <t>MDABTC</t>
  </si>
  <si>
    <t>MDAETH</t>
  </si>
  <si>
    <t>MTLBTC</t>
  </si>
  <si>
    <t>MTLETH</t>
  </si>
  <si>
    <t>SUBBTC</t>
  </si>
  <si>
    <t>SUBETH</t>
  </si>
  <si>
    <t>EOSBTC</t>
  </si>
  <si>
    <t>SNTBTC</t>
  </si>
  <si>
    <t>ETCETH</t>
  </si>
  <si>
    <t>ETCBTC</t>
  </si>
  <si>
    <t>MTHBTC</t>
  </si>
  <si>
    <t>MTHETH</t>
  </si>
  <si>
    <t>ENGBTC</t>
  </si>
  <si>
    <t>ENGETH</t>
  </si>
  <si>
    <t>DNTBTC</t>
  </si>
  <si>
    <t>ZECBTC</t>
  </si>
  <si>
    <t>ZECETH</t>
  </si>
  <si>
    <t>BNTBTC</t>
  </si>
  <si>
    <t>ASTBTC</t>
  </si>
  <si>
    <t>ASTETH</t>
  </si>
  <si>
    <t>DASHBTC</t>
  </si>
  <si>
    <t>DASHETH</t>
  </si>
  <si>
    <t>OAXBTC</t>
  </si>
  <si>
    <t>ICNBTC</t>
  </si>
  <si>
    <t>BTGBTC</t>
  </si>
  <si>
    <t>BTGETH</t>
  </si>
  <si>
    <t>EVXBTC</t>
  </si>
  <si>
    <t>EVXETH</t>
  </si>
  <si>
    <t>REQBTC</t>
  </si>
  <si>
    <t>REQETH</t>
  </si>
  <si>
    <t>VIBBTC</t>
  </si>
  <si>
    <t>VIBETH</t>
  </si>
  <si>
    <t>HSRETH</t>
  </si>
  <si>
    <t>TRXBTC</t>
  </si>
  <si>
    <t>TRXETH</t>
  </si>
  <si>
    <t>POWRBTC</t>
  </si>
  <si>
    <t>POWRETH</t>
  </si>
  <si>
    <t>ARKBTC</t>
  </si>
  <si>
    <t>ARKETH</t>
  </si>
  <si>
    <t>YOYOETH</t>
  </si>
  <si>
    <t>XRPBTC</t>
  </si>
  <si>
    <t>XRPETH</t>
  </si>
  <si>
    <t>MODBTC</t>
  </si>
  <si>
    <t>MODETH</t>
  </si>
  <si>
    <t>ENJBTC</t>
  </si>
  <si>
    <t>ENJETH</t>
  </si>
  <si>
    <t>STORJBTC</t>
  </si>
  <si>
    <t>STORJETH</t>
  </si>
  <si>
    <t>BNBUSDT</t>
  </si>
  <si>
    <t>VENBNB</t>
  </si>
  <si>
    <t>YOYOBNB</t>
  </si>
  <si>
    <t>POWRBNB</t>
  </si>
  <si>
    <t>VENBTC</t>
  </si>
  <si>
    <t>VENETH</t>
  </si>
  <si>
    <t>KMDBTC</t>
  </si>
  <si>
    <t>KMDETH</t>
  </si>
  <si>
    <t>NULSBNB</t>
  </si>
  <si>
    <t>RCNBTC</t>
  </si>
  <si>
    <t>RCNETH</t>
  </si>
  <si>
    <t>RCNBNB</t>
  </si>
  <si>
    <t>NULSBTC</t>
  </si>
  <si>
    <t>NULSETH</t>
  </si>
  <si>
    <t>RDNBTC</t>
  </si>
  <si>
    <t>RDNETH</t>
  </si>
  <si>
    <t>RDNBNB</t>
  </si>
  <si>
    <t>XMRBTC</t>
  </si>
  <si>
    <t>XMRETH</t>
  </si>
  <si>
    <t>DLTBNB</t>
  </si>
  <si>
    <t>WTCBNB</t>
  </si>
  <si>
    <t>DLTBTC</t>
  </si>
  <si>
    <t>DLTETH</t>
  </si>
  <si>
    <t>AMBBTC</t>
  </si>
  <si>
    <t>AMBETH</t>
  </si>
  <si>
    <t>AMBBNB</t>
  </si>
  <si>
    <t>BCCETH</t>
  </si>
  <si>
    <t>BCCUSDT</t>
  </si>
  <si>
    <t>BCCBNB</t>
  </si>
  <si>
    <t>BATBTC</t>
  </si>
  <si>
    <t>BATETH</t>
  </si>
  <si>
    <t>BATBNB</t>
  </si>
  <si>
    <t>BCPTBTC</t>
  </si>
  <si>
    <t>BCPTETH</t>
  </si>
  <si>
    <t>BCPTBNB</t>
  </si>
  <si>
    <t>ARNBTC</t>
  </si>
  <si>
    <t>ARNETH</t>
  </si>
  <si>
    <t>GVTBTC</t>
  </si>
  <si>
    <t>GVTETH</t>
  </si>
  <si>
    <t>CDTBTC</t>
  </si>
  <si>
    <t>CDTETH</t>
  </si>
  <si>
    <t>GXSBTC</t>
  </si>
  <si>
    <t>GXSETH</t>
  </si>
  <si>
    <t>NEOUSDT</t>
  </si>
  <si>
    <t>NEOBNB</t>
  </si>
  <si>
    <t>POEBTC</t>
  </si>
  <si>
    <t>POEETH</t>
  </si>
  <si>
    <t>QSPBTC</t>
  </si>
  <si>
    <t>QSPETH</t>
  </si>
  <si>
    <t>QSPBNB</t>
  </si>
  <si>
    <t>BTSBTC</t>
  </si>
  <si>
    <t>BTSETH</t>
  </si>
  <si>
    <t>BTSBNB</t>
  </si>
  <si>
    <t>XZCBTC</t>
  </si>
  <si>
    <t>XZCETH</t>
  </si>
  <si>
    <t>XZCBNB</t>
  </si>
  <si>
    <t>LSKBTC</t>
  </si>
  <si>
    <t>LSKETH</t>
  </si>
  <si>
    <t>LSKBNB</t>
  </si>
  <si>
    <t>TNTBTC</t>
  </si>
  <si>
    <t>TNTETH</t>
  </si>
  <si>
    <t>FUELBTC</t>
  </si>
  <si>
    <t>FUELETH</t>
  </si>
  <si>
    <t>MANABTC</t>
  </si>
  <si>
    <t>MANAETH</t>
  </si>
  <si>
    <t>BCDBTC</t>
  </si>
  <si>
    <t>BCDETH</t>
  </si>
  <si>
    <t>DGDBTC</t>
  </si>
  <si>
    <t>DGDETH</t>
  </si>
  <si>
    <t>IOTABNB</t>
  </si>
  <si>
    <t>ADXBTC</t>
  </si>
  <si>
    <t>ADXETH</t>
  </si>
  <si>
    <t>ADXBNB</t>
  </si>
  <si>
    <t>ADABTC</t>
  </si>
  <si>
    <t>ADAETH</t>
  </si>
  <si>
    <t>PPTBTC</t>
  </si>
  <si>
    <t>PPTETH</t>
  </si>
  <si>
    <t>CMTBTC</t>
  </si>
  <si>
    <t>CMTETH</t>
  </si>
  <si>
    <t>CMTBNB</t>
  </si>
  <si>
    <t>XLMBTC</t>
  </si>
  <si>
    <t>XLMETH</t>
  </si>
  <si>
    <t>XLMBNB</t>
  </si>
  <si>
    <t>CNDBTC</t>
  </si>
  <si>
    <t>CNDETH</t>
  </si>
  <si>
    <t>CNDBNB</t>
  </si>
  <si>
    <t>LENDBTC</t>
  </si>
  <si>
    <t>LENDETH</t>
  </si>
  <si>
    <t>WABIBTC</t>
  </si>
  <si>
    <t>WABIETH</t>
  </si>
  <si>
    <t>WABIBNB</t>
  </si>
  <si>
    <t>LTCETH</t>
  </si>
  <si>
    <t>LTCUSDT</t>
  </si>
  <si>
    <t>LTCBNB</t>
  </si>
  <si>
    <t>TNBBTC</t>
  </si>
  <si>
    <t>TNBETH</t>
  </si>
  <si>
    <t>WAVESBTC</t>
  </si>
  <si>
    <t>WAVESETH</t>
  </si>
  <si>
    <t>WAVESBNB</t>
  </si>
  <si>
    <t>GTOBTC</t>
  </si>
  <si>
    <t>GTOETH</t>
  </si>
  <si>
    <t>GTOBNB</t>
  </si>
  <si>
    <t>ICXBTC</t>
  </si>
  <si>
    <t>ICXETH</t>
  </si>
  <si>
    <t>ICXBNB</t>
  </si>
  <si>
    <t>OSTBTC</t>
  </si>
  <si>
    <t>OSTETH</t>
  </si>
  <si>
    <t>OSTBNB</t>
  </si>
  <si>
    <t>ELFBTC</t>
  </si>
  <si>
    <t>ELFETH</t>
  </si>
  <si>
    <t>AIONBTC</t>
  </si>
  <si>
    <t>AIONETH</t>
  </si>
  <si>
    <t>AIONBNB</t>
  </si>
  <si>
    <t>NEBLBTC</t>
  </si>
  <si>
    <t>NEBLBNB</t>
  </si>
  <si>
    <t>BRDBTC</t>
  </si>
  <si>
    <t>BRDETH</t>
  </si>
  <si>
    <t>BRDBNB</t>
  </si>
  <si>
    <t>MCOBNB</t>
  </si>
  <si>
    <t>EDOBTC</t>
  </si>
  <si>
    <t>EDOETH</t>
  </si>
  <si>
    <t>WINGSBTC</t>
  </si>
  <si>
    <t>WINGSETH</t>
  </si>
  <si>
    <t>NAVBTC</t>
  </si>
  <si>
    <t>NAVETH</t>
  </si>
  <si>
    <t>NAVBNB</t>
  </si>
  <si>
    <t>LUNBTC</t>
  </si>
  <si>
    <t>LUNETH</t>
  </si>
  <si>
    <t>TRIGBTC</t>
  </si>
  <si>
    <t>TRIGETH</t>
  </si>
  <si>
    <t>TRIGBNB</t>
  </si>
  <si>
    <t>APPCBTC</t>
  </si>
  <si>
    <t>APPCETH</t>
  </si>
  <si>
    <t>APPCBNB</t>
  </si>
  <si>
    <t>VIBEBTC</t>
  </si>
  <si>
    <t>VIBEETH</t>
  </si>
  <si>
    <t>RLCBTC</t>
  </si>
  <si>
    <t>RLCETH</t>
  </si>
  <si>
    <t>RLCBNB</t>
  </si>
  <si>
    <t>INSBTC</t>
  </si>
  <si>
    <t>INSETH</t>
  </si>
  <si>
    <t>PIVXBTC</t>
  </si>
  <si>
    <t>PIVXBNB</t>
  </si>
  <si>
    <t>IOSTBTC</t>
  </si>
  <si>
    <t>IOSTETH</t>
  </si>
  <si>
    <t>CHATBTC</t>
  </si>
  <si>
    <t>CHATETH</t>
  </si>
  <si>
    <t>STEEMBTC</t>
  </si>
  <si>
    <t>STEEMETH</t>
  </si>
  <si>
    <t>STEEMBNB</t>
  </si>
  <si>
    <t>NANOBTC</t>
  </si>
  <si>
    <t>NANOETH</t>
  </si>
  <si>
    <t>NANOBNB</t>
  </si>
  <si>
    <t>VIABTC</t>
  </si>
  <si>
    <t>VIAETH</t>
  </si>
  <si>
    <t>VIABNB</t>
  </si>
  <si>
    <t>BLZBTC</t>
  </si>
  <si>
    <t>BLZETH</t>
  </si>
  <si>
    <t>BLZBNB</t>
  </si>
  <si>
    <t>AEBTC</t>
  </si>
  <si>
    <t>AEETH</t>
  </si>
  <si>
    <t>AEBNB</t>
  </si>
  <si>
    <t>RPXBTC</t>
  </si>
  <si>
    <t>RPXETH</t>
  </si>
  <si>
    <t>RPXBNB</t>
  </si>
  <si>
    <t>NCASHBTC</t>
  </si>
  <si>
    <t>NCASHETH</t>
  </si>
  <si>
    <t>NCASHBNB</t>
  </si>
  <si>
    <t>POABTC</t>
  </si>
  <si>
    <t>POAETH</t>
  </si>
  <si>
    <t>POABNB</t>
  </si>
  <si>
    <t>ZILBTC</t>
  </si>
  <si>
    <t>ZILETH</t>
  </si>
  <si>
    <t>ZILBNB</t>
  </si>
  <si>
    <t>ONTBTC</t>
  </si>
  <si>
    <t>ONTETH</t>
  </si>
  <si>
    <t>ONTBNB</t>
  </si>
  <si>
    <t>STORMBTC</t>
  </si>
  <si>
    <t>STORMETH</t>
  </si>
  <si>
    <t>STORMBNB</t>
  </si>
  <si>
    <t>QTUMBNB</t>
  </si>
  <si>
    <t>QTUMUSDT</t>
  </si>
  <si>
    <t>XEMBTC</t>
  </si>
  <si>
    <t>XEMETH</t>
  </si>
  <si>
    <t>XEMBNB</t>
  </si>
  <si>
    <t>WANBTC</t>
  </si>
  <si>
    <t>WANETH</t>
  </si>
  <si>
    <t>WANBNB</t>
  </si>
  <si>
    <t>WPRBTC</t>
  </si>
  <si>
    <t>WPRETH</t>
  </si>
  <si>
    <t>QLCBTC</t>
  </si>
  <si>
    <t>QLCETH</t>
  </si>
  <si>
    <t>SYSBTC</t>
  </si>
  <si>
    <t>SYSETH</t>
  </si>
  <si>
    <t>SYSBNB</t>
  </si>
  <si>
    <t>QLCBNB</t>
  </si>
  <si>
    <t>GRSBTC</t>
  </si>
  <si>
    <t>GRSETH</t>
  </si>
  <si>
    <t>ADAUSDT</t>
  </si>
  <si>
    <t>ADABNB</t>
  </si>
  <si>
    <t>CLOAKBTC</t>
  </si>
  <si>
    <t>CLOAKETH</t>
  </si>
  <si>
    <t>GNTBTC</t>
  </si>
  <si>
    <t>GNTETH</t>
  </si>
  <si>
    <t>GNTBNB</t>
  </si>
  <si>
    <t>LOOMBTC</t>
  </si>
  <si>
    <t>LOOMETH</t>
  </si>
  <si>
    <t>LOOMBNB</t>
  </si>
  <si>
    <t>XRPUSDT</t>
  </si>
  <si>
    <t>BCNBTC</t>
  </si>
  <si>
    <t>BCNETH</t>
  </si>
  <si>
    <t>BCNBNB</t>
  </si>
  <si>
    <t>REPBTC</t>
  </si>
  <si>
    <t>REPBNB</t>
  </si>
  <si>
    <t>BTCTUSD</t>
  </si>
  <si>
    <t>TUSDBTC</t>
  </si>
  <si>
    <t>ETHTUSD</t>
  </si>
  <si>
    <t>TUSDETH</t>
  </si>
  <si>
    <t>TUSDBNB</t>
  </si>
  <si>
    <t>ZENBTC</t>
  </si>
  <si>
    <t>ZENETH</t>
  </si>
  <si>
    <t>ZENBNB</t>
  </si>
  <si>
    <t>SKYBTC</t>
  </si>
  <si>
    <t>SKYETH</t>
  </si>
  <si>
    <t>SKYBNB</t>
  </si>
  <si>
    <t>EOSUSDT</t>
  </si>
  <si>
    <t>EOSBNB</t>
  </si>
  <si>
    <t>CVCBTC</t>
  </si>
  <si>
    <t>CVCETH</t>
  </si>
  <si>
    <t>CVCBNB</t>
  </si>
  <si>
    <t>THETABTC</t>
  </si>
  <si>
    <t>THETAETH</t>
  </si>
  <si>
    <t>THETABNB</t>
  </si>
  <si>
    <t>XRPBNB</t>
  </si>
  <si>
    <t>TUSDUSDT</t>
  </si>
  <si>
    <t>IOTAUSDT</t>
  </si>
  <si>
    <t>XLMUSDT</t>
  </si>
  <si>
    <t>IOTXBTC</t>
  </si>
  <si>
    <t>IOTXETH</t>
  </si>
  <si>
    <t>QKCBTC</t>
  </si>
  <si>
    <t>QKCETH</t>
  </si>
  <si>
    <t>AGIBTC</t>
  </si>
  <si>
    <t>AGIETH</t>
  </si>
  <si>
    <t>AGIBNB</t>
  </si>
  <si>
    <t>NXSBTC</t>
  </si>
  <si>
    <t>NXSETH</t>
  </si>
  <si>
    <t>NXSBNB</t>
  </si>
  <si>
    <t>ENJBNB</t>
  </si>
  <si>
    <t>DATABTC</t>
  </si>
  <si>
    <t>DATAETH</t>
  </si>
  <si>
    <t>ONTUSDT</t>
  </si>
  <si>
    <t>TRXBNB</t>
  </si>
  <si>
    <t>TRXUSDT</t>
  </si>
  <si>
    <t>ETCUSDT</t>
  </si>
  <si>
    <t>ETCBNB</t>
  </si>
  <si>
    <t>ICXUSDT</t>
  </si>
  <si>
    <t>SCBTC</t>
  </si>
  <si>
    <t>SCETH</t>
  </si>
  <si>
    <t>NPXSBTC</t>
  </si>
  <si>
    <t>NPXSETH</t>
  </si>
  <si>
    <t>VENUSDT</t>
  </si>
  <si>
    <t>KEYBTC</t>
  </si>
  <si>
    <t>KEYETH</t>
  </si>
  <si>
    <t>NASBTC</t>
  </si>
  <si>
    <t>NASETH</t>
  </si>
  <si>
    <t>NASBNB</t>
  </si>
  <si>
    <t>MFTBTC</t>
  </si>
  <si>
    <t>MFTETH</t>
  </si>
  <si>
    <t>MFTBNB</t>
  </si>
  <si>
    <t>DENTBTC</t>
  </si>
  <si>
    <t>DENTETH</t>
  </si>
  <si>
    <t>ARDRBTC</t>
  </si>
  <si>
    <t>ARDRETH</t>
  </si>
  <si>
    <t>ARDRBNB</t>
  </si>
  <si>
    <t>NULSUSDT</t>
  </si>
  <si>
    <t>HOTBTC</t>
  </si>
  <si>
    <t>HOTETH</t>
  </si>
  <si>
    <t>VETBTC</t>
  </si>
  <si>
    <t>VETETH</t>
  </si>
  <si>
    <t>VETUSDT</t>
  </si>
  <si>
    <t>VETBNB</t>
  </si>
  <si>
    <t>DOCKBTC</t>
  </si>
  <si>
    <t>DOCKETH</t>
  </si>
  <si>
    <t>POLYBTC</t>
  </si>
  <si>
    <t>POLYBNB</t>
  </si>
  <si>
    <t>PHXBTC</t>
  </si>
  <si>
    <t>PHXETH</t>
  </si>
  <si>
    <t>PHXBNB</t>
  </si>
  <si>
    <t>HCBTC</t>
  </si>
  <si>
    <t>HCETH</t>
  </si>
  <si>
    <t>GOBTC</t>
  </si>
  <si>
    <t>GOBNB</t>
  </si>
  <si>
    <t>PAXBTC</t>
  </si>
  <si>
    <t>PAXBNB</t>
  </si>
  <si>
    <t>PAXUSDT</t>
  </si>
  <si>
    <t>PAXETH</t>
  </si>
  <si>
    <t>RVNBTC</t>
  </si>
  <si>
    <t>DCRBTC</t>
  </si>
  <si>
    <t>DCRBNB</t>
  </si>
  <si>
    <t>USDCBNB</t>
  </si>
  <si>
    <t>MITHBTC</t>
  </si>
  <si>
    <t>MITHBNB</t>
  </si>
  <si>
    <t>BCHABCBTC</t>
  </si>
  <si>
    <t>BCHSVBTC</t>
  </si>
  <si>
    <t>BCHABCUSDT</t>
  </si>
  <si>
    <t>BCHSVUSDT</t>
  </si>
  <si>
    <t>BNBPAX</t>
  </si>
  <si>
    <t>BTCPAX</t>
  </si>
  <si>
    <t>ETHPAX</t>
  </si>
  <si>
    <t>XRPPAX</t>
  </si>
  <si>
    <t>EOSPAX</t>
  </si>
  <si>
    <t>XLMPAX</t>
  </si>
  <si>
    <t>RENBTC</t>
  </si>
  <si>
    <t>RENBNB</t>
  </si>
  <si>
    <t>BNBTUSD</t>
  </si>
  <si>
    <t>XRPTUSD</t>
  </si>
  <si>
    <t>EOSTUSD</t>
  </si>
  <si>
    <t>XLMTUSD</t>
  </si>
  <si>
    <t>BNBUSDC</t>
  </si>
  <si>
    <t>BTCUSDC</t>
  </si>
  <si>
    <t>ETHUSDC</t>
  </si>
  <si>
    <t>XRPUSDC</t>
  </si>
  <si>
    <t>EOSUSDC</t>
  </si>
  <si>
    <t>XLMUSDC</t>
  </si>
  <si>
    <t>USDCUSDT</t>
  </si>
  <si>
    <t>ADATUSD</t>
  </si>
  <si>
    <t>TRXTUSD</t>
  </si>
  <si>
    <t>NEOTUSD</t>
  </si>
  <si>
    <t>TRXXRP</t>
  </si>
  <si>
    <t>XZCXRP</t>
  </si>
  <si>
    <t>PAXTUSD</t>
  </si>
  <si>
    <t>USDCTUSD</t>
  </si>
  <si>
    <t>USDCPAX</t>
  </si>
  <si>
    <t>LINKUSDT</t>
  </si>
  <si>
    <t>LINKTUSD</t>
  </si>
  <si>
    <t>LINKPAX</t>
  </si>
  <si>
    <t>LINKUSDC</t>
  </si>
  <si>
    <t>WAVESUSDT</t>
  </si>
  <si>
    <t>WAVESTUSD</t>
  </si>
  <si>
    <t>WAVESPAX</t>
  </si>
  <si>
    <t>WAVESUSDC</t>
  </si>
  <si>
    <t>BCHABCTUSD</t>
  </si>
  <si>
    <t>BCHABCPAX</t>
  </si>
  <si>
    <t>BCHABCUSDC</t>
  </si>
  <si>
    <t>BCHSVTUSD</t>
  </si>
  <si>
    <t>BCHSVPAX</t>
  </si>
  <si>
    <t>BCHSVUSDC</t>
  </si>
  <si>
    <t>LTCTUSD</t>
  </si>
  <si>
    <t>LTCPAX</t>
  </si>
  <si>
    <t>LTCUSDC</t>
  </si>
  <si>
    <t>TRXPAX</t>
  </si>
  <si>
    <t>TRXUSDC</t>
  </si>
  <si>
    <t>BTTBTC</t>
  </si>
  <si>
    <t>BTTBNB</t>
  </si>
  <si>
    <t>BTTUSDT</t>
  </si>
  <si>
    <t>BNBUSDS</t>
  </si>
  <si>
    <t>BTCUSDS</t>
  </si>
  <si>
    <t>USDSUSDT</t>
  </si>
  <si>
    <t>USDSPAX</t>
  </si>
  <si>
    <t>USDSTUSD</t>
  </si>
  <si>
    <t>USDSUSDC</t>
  </si>
  <si>
    <t>BTTPAX</t>
  </si>
  <si>
    <t>BTTTUSD</t>
  </si>
  <si>
    <t>BTTUSDC</t>
  </si>
  <si>
    <t>ONGBNB</t>
  </si>
  <si>
    <t>ONGBTC</t>
  </si>
  <si>
    <t>ONGUSDT</t>
  </si>
  <si>
    <t>HOTBNB</t>
  </si>
  <si>
    <t>HOTUSDT</t>
  </si>
  <si>
    <t>ZILUSDT</t>
  </si>
  <si>
    <t>ZRXBNB</t>
  </si>
  <si>
    <t>ZRXUSDT</t>
  </si>
  <si>
    <t>FETBNB</t>
  </si>
  <si>
    <t>FETBTC</t>
  </si>
  <si>
    <t>FETUSDT</t>
  </si>
  <si>
    <t>BATUSDT</t>
  </si>
  <si>
    <t>XMRBNB</t>
  </si>
  <si>
    <t>XMRUSDT</t>
  </si>
  <si>
    <t>ZECBNB</t>
  </si>
  <si>
    <t>ZECUSDT</t>
  </si>
  <si>
    <t>ZECPAX</t>
  </si>
  <si>
    <t>ZECTUSD</t>
  </si>
  <si>
    <t>ZECUSDC</t>
  </si>
  <si>
    <t>IOSTUSDT</t>
  </si>
  <si>
    <t>CELRBNB</t>
  </si>
  <si>
    <t>CELRBTC</t>
  </si>
  <si>
    <t>CELRUSDT</t>
  </si>
  <si>
    <t>ADAPAX</t>
  </si>
  <si>
    <t>ADAUSDC</t>
  </si>
  <si>
    <t>NEOPAX</t>
  </si>
  <si>
    <t>NEOUSDC</t>
  </si>
  <si>
    <t>DASHBNB</t>
  </si>
  <si>
    <t>DASHUSDT</t>
  </si>
  <si>
    <t>NANOUSDT</t>
  </si>
  <si>
    <t>OMGBNB</t>
  </si>
  <si>
    <t>OMGUSDT</t>
  </si>
  <si>
    <t>THETAUSDT</t>
  </si>
  <si>
    <t>ENJUSDT</t>
  </si>
  <si>
    <t>MITHUSDT</t>
  </si>
  <si>
    <t>MATICBNB</t>
  </si>
  <si>
    <t>MATICBTC</t>
  </si>
  <si>
    <t>MATICUSDT</t>
  </si>
  <si>
    <t>ATOMBNB</t>
  </si>
  <si>
    <t>ATOMBTC</t>
  </si>
  <si>
    <t>ATOMUSDT</t>
  </si>
  <si>
    <t>ATOMUSDC</t>
  </si>
  <si>
    <t>ATOMPAX</t>
  </si>
  <si>
    <t>ATOMTUSD</t>
  </si>
  <si>
    <t>ETCUSDC</t>
  </si>
  <si>
    <t>ETCPAX</t>
  </si>
  <si>
    <t>ETCTUSD</t>
  </si>
  <si>
    <t>BATUSDC</t>
  </si>
  <si>
    <t>BATPAX</t>
  </si>
  <si>
    <t>BATTUSD</t>
  </si>
  <si>
    <t>PHBBNB</t>
  </si>
  <si>
    <t>PHBBTC</t>
  </si>
  <si>
    <t>PHBUSDC</t>
  </si>
  <si>
    <t>PHBTUSD</t>
  </si>
  <si>
    <t>PHBPAX</t>
  </si>
  <si>
    <t>TFUELBNB</t>
  </si>
  <si>
    <t>TFUELBTC</t>
  </si>
  <si>
    <t>TFUELUSDT</t>
  </si>
  <si>
    <t>TFUELUSDC</t>
  </si>
  <si>
    <t>TFUELTUSD</t>
  </si>
  <si>
    <t>TFUELPAX</t>
  </si>
  <si>
    <t>ONEBNB</t>
  </si>
  <si>
    <t>ONEBTC</t>
  </si>
  <si>
    <t>ONEUSDT</t>
  </si>
  <si>
    <t>ONETUSD</t>
  </si>
  <si>
    <t>ONEPAX</t>
  </si>
  <si>
    <t>ONEUSDC</t>
  </si>
  <si>
    <t>FTMBNB</t>
  </si>
  <si>
    <t>FTMBTC</t>
  </si>
  <si>
    <t>FTMUSDT</t>
  </si>
  <si>
    <t>FTMTUSD</t>
  </si>
  <si>
    <t>FTMPAX</t>
  </si>
  <si>
    <t>FTMUSDC</t>
  </si>
  <si>
    <t>BTCBBTC</t>
  </si>
  <si>
    <t>BCPTTUSD</t>
  </si>
  <si>
    <t>BCPTPAX</t>
  </si>
  <si>
    <t>BCPTUSDC</t>
  </si>
  <si>
    <t>ALGOBNB</t>
  </si>
  <si>
    <t>ALGOBTC</t>
  </si>
  <si>
    <t>ALGOUSDT</t>
  </si>
  <si>
    <t>ALGOTUSD</t>
  </si>
  <si>
    <t>ALGOPAX</t>
  </si>
  <si>
    <t>ALGOUSDC</t>
  </si>
  <si>
    <t>USDSBUSDT</t>
  </si>
  <si>
    <t>USDSBUSDS</t>
  </si>
  <si>
    <t>GTOUSDT</t>
  </si>
  <si>
    <t>GTOPAX</t>
  </si>
  <si>
    <t>GTOTUSD</t>
  </si>
  <si>
    <t>GTOUSDC</t>
  </si>
  <si>
    <t>ERDBNB</t>
  </si>
  <si>
    <t>ERDBTC</t>
  </si>
  <si>
    <t>ERDUSDT</t>
  </si>
  <si>
    <t>ERDPAX</t>
  </si>
  <si>
    <t>ERDUSDC</t>
  </si>
  <si>
    <t>DOGEBNB</t>
  </si>
  <si>
    <t>DOGEBTC</t>
  </si>
  <si>
    <t>DOGEUSDT</t>
  </si>
  <si>
    <t>DOGEPAX</t>
  </si>
  <si>
    <t>DOGEUSDC</t>
  </si>
  <si>
    <t>DUSKBNB</t>
  </si>
  <si>
    <t>DUSKBTC</t>
  </si>
  <si>
    <t>DUSKUSDT</t>
  </si>
  <si>
    <t>DUSKUSDC</t>
  </si>
  <si>
    <t>DUSKPAX</t>
  </si>
  <si>
    <t>BGBPUSDC</t>
  </si>
  <si>
    <t>ANKRBNB</t>
  </si>
  <si>
    <t>ANKRBTC</t>
  </si>
  <si>
    <t>ANKRUSDT</t>
  </si>
  <si>
    <t>ANKRTUSD</t>
  </si>
  <si>
    <t>ANKRPAX</t>
  </si>
  <si>
    <t>ANKRUSDC</t>
  </si>
  <si>
    <t>ONTPAX</t>
  </si>
  <si>
    <t>ONTUSDC</t>
  </si>
  <si>
    <t>WINBNB</t>
  </si>
  <si>
    <t>WINBTC</t>
  </si>
  <si>
    <t>WINUSDT</t>
  </si>
  <si>
    <t>WINUSDC</t>
  </si>
  <si>
    <t>COSBNB</t>
  </si>
  <si>
    <t>COSBTC</t>
  </si>
  <si>
    <t>COSUSDT</t>
  </si>
  <si>
    <t>TUSDBTUSD</t>
  </si>
  <si>
    <t>NPXSUSDT</t>
  </si>
  <si>
    <t>NPXSUSDC</t>
  </si>
  <si>
    <t>COCOSBNB</t>
  </si>
  <si>
    <t>COCOSBTC</t>
  </si>
  <si>
    <t>COCOSUSDT</t>
  </si>
  <si>
    <t>MTLUSDT</t>
  </si>
  <si>
    <t>TOMOBNB</t>
  </si>
  <si>
    <t>TOMOBTC</t>
  </si>
  <si>
    <t>TOMOUSDT</t>
  </si>
  <si>
    <t>TOMOUSDC</t>
  </si>
  <si>
    <t>PERLBNB</t>
  </si>
  <si>
    <t>PERLBTC</t>
  </si>
  <si>
    <t>PERLUSDC</t>
  </si>
  <si>
    <t>PERLUSDT</t>
  </si>
  <si>
    <t>DENTUSDT</t>
  </si>
  <si>
    <t>MFTUSDT</t>
  </si>
  <si>
    <t>KEYUSDT</t>
  </si>
  <si>
    <t>STORMUSDT</t>
  </si>
  <si>
    <t>DOCKUSDT</t>
  </si>
  <si>
    <t>WANUSDT</t>
  </si>
  <si>
    <t>FUNUSDT</t>
  </si>
  <si>
    <t>CVCUSDT</t>
  </si>
  <si>
    <t>BTTTRX</t>
  </si>
  <si>
    <t>WINTRX</t>
  </si>
  <si>
    <t>CHZBNB</t>
  </si>
  <si>
    <t>CHZBTC</t>
  </si>
  <si>
    <t>CHZUSDT</t>
  </si>
  <si>
    <t>BANDBNB</t>
  </si>
  <si>
    <t>BANDBTC</t>
  </si>
  <si>
    <t>BANDUSDT</t>
  </si>
  <si>
    <t>BNBBUSD</t>
  </si>
  <si>
    <t>BTCBUSD</t>
  </si>
  <si>
    <t>BUSDUSDT</t>
  </si>
  <si>
    <t>BEAMBNB</t>
  </si>
  <si>
    <t>BEAMBTC</t>
  </si>
  <si>
    <t>BEAMUSDT</t>
  </si>
  <si>
    <t>XTZBNB</t>
  </si>
  <si>
    <t>XTZBTC</t>
  </si>
  <si>
    <t>XTZUSDT</t>
  </si>
  <si>
    <t>RENUSDT</t>
  </si>
  <si>
    <t>RVNUSDT</t>
  </si>
  <si>
    <t>HCUSDT</t>
  </si>
  <si>
    <t>HBARBNB</t>
  </si>
  <si>
    <t>HBARBTC</t>
  </si>
  <si>
    <t>HBARUSDT</t>
  </si>
  <si>
    <t>NKNBNB</t>
  </si>
  <si>
    <t>NKNBTC</t>
  </si>
  <si>
    <t>NKNUSDT</t>
  </si>
  <si>
    <t>XRPBUSD</t>
  </si>
  <si>
    <t>ETHBUSD</t>
  </si>
  <si>
    <t>BCHABCBUSD</t>
  </si>
  <si>
    <t>LTCBUSD</t>
  </si>
  <si>
    <t>LINKBUSD</t>
  </si>
  <si>
    <t>ETCBUSD</t>
  </si>
  <si>
    <t>STXBNB</t>
  </si>
  <si>
    <t>STXBTC</t>
  </si>
  <si>
    <t>STXUSDT</t>
  </si>
  <si>
    <t>KAVABNB</t>
  </si>
  <si>
    <t>KAVABTC</t>
  </si>
  <si>
    <t>KAVAUSDT</t>
  </si>
  <si>
    <t>BUSDNGN</t>
  </si>
  <si>
    <t>BNBNGN</t>
  </si>
  <si>
    <t>BTCNGN</t>
  </si>
  <si>
    <t>ARPABNB</t>
  </si>
  <si>
    <t>ARPABTC</t>
  </si>
  <si>
    <t>ARPAUSDT</t>
  </si>
  <si>
    <t>TRXBUSD</t>
  </si>
  <si>
    <t>EOSBUSD</t>
  </si>
  <si>
    <t>IOTXUSDT</t>
  </si>
  <si>
    <t>RLCUSDT</t>
  </si>
  <si>
    <t>MCOUSDT</t>
  </si>
  <si>
    <t>XLMBUSD</t>
  </si>
  <si>
    <t>ADABUSD</t>
  </si>
  <si>
    <t>CTXCBNB</t>
  </si>
  <si>
    <t>CTXCBTC</t>
  </si>
  <si>
    <t>CTXCUSDT</t>
  </si>
  <si>
    <t>BCHBNB</t>
  </si>
  <si>
    <t>BCHBTC</t>
  </si>
  <si>
    <t>BCHUSDT</t>
  </si>
  <si>
    <t>BCHUSDC</t>
  </si>
  <si>
    <t>BCHTUSD</t>
  </si>
  <si>
    <t>BCHPAX</t>
  </si>
  <si>
    <t>BCHBUSD</t>
  </si>
  <si>
    <t>BTCRUB</t>
  </si>
  <si>
    <t>ETHRUB</t>
  </si>
  <si>
    <t>XRPRUB</t>
  </si>
  <si>
    <t>BNBRUB</t>
  </si>
  <si>
    <t>TROYBNB</t>
  </si>
  <si>
    <t>TROYBTC</t>
  </si>
  <si>
    <t>TROYUSDT</t>
  </si>
  <si>
    <t>BUSDRUB</t>
  </si>
  <si>
    <t>QTUMBUSD</t>
  </si>
  <si>
    <t>VETBUSD</t>
  </si>
  <si>
    <t>VITEBNB</t>
  </si>
  <si>
    <t>VITEBTC</t>
  </si>
  <si>
    <t>VITEUSDT</t>
  </si>
  <si>
    <t>FTTBNB</t>
  </si>
  <si>
    <t>FTTBTC</t>
  </si>
  <si>
    <t>FTTUSDT</t>
  </si>
  <si>
    <t>BTCTRY</t>
  </si>
  <si>
    <t>BNBTRY</t>
  </si>
  <si>
    <t>BUSDTRY</t>
  </si>
  <si>
    <t>ETHTRY</t>
  </si>
  <si>
    <t>XRPTRY</t>
  </si>
  <si>
    <t>USDTTRY</t>
  </si>
  <si>
    <t>USDTRUB</t>
  </si>
  <si>
    <t>BTCEUR</t>
  </si>
  <si>
    <t>ETHEUR</t>
  </si>
  <si>
    <t>BNBEUR</t>
  </si>
  <si>
    <t>XRPEUR</t>
  </si>
  <si>
    <t>EURBUSD</t>
  </si>
  <si>
    <t>EURUSDT</t>
  </si>
  <si>
    <t>OGNBNB</t>
  </si>
  <si>
    <t>OGNBTC</t>
  </si>
  <si>
    <t>OGNUSDT</t>
  </si>
  <si>
    <t>DREPBNB</t>
  </si>
  <si>
    <t>DREPBTC</t>
  </si>
  <si>
    <t>DREPUSDT</t>
  </si>
  <si>
    <t>BULLUSDT</t>
  </si>
  <si>
    <t>BULLBUSD</t>
  </si>
  <si>
    <t>BEARUSDT</t>
  </si>
  <si>
    <t>BEARBUSD</t>
  </si>
  <si>
    <t>ETHBULLUSDT</t>
  </si>
  <si>
    <t>ETHBULLBUSD</t>
  </si>
  <si>
    <t>ETHBEARUSDT</t>
  </si>
  <si>
    <t>ETHBEARBUSD</t>
  </si>
  <si>
    <t>TCTBNB</t>
  </si>
  <si>
    <t>TCTBTC</t>
  </si>
  <si>
    <t>TCTUSDT</t>
  </si>
  <si>
    <t>WRXBNB</t>
  </si>
  <si>
    <t>WRXBTC</t>
  </si>
  <si>
    <t>WRXUSDT</t>
  </si>
  <si>
    <t>ICXBUSD</t>
  </si>
  <si>
    <t>BTSUSDT</t>
  </si>
  <si>
    <t>BTSBUSD</t>
  </si>
  <si>
    <t>LSKUSDT</t>
  </si>
  <si>
    <t>BNTUSDT</t>
  </si>
  <si>
    <t>BNTBUSD</t>
  </si>
  <si>
    <t>LTOBNB</t>
  </si>
  <si>
    <t>LTOBTC</t>
  </si>
  <si>
    <t>LTOUSDT</t>
  </si>
  <si>
    <t>ATOMBUSD</t>
  </si>
  <si>
    <t>DASHBUSD</t>
  </si>
  <si>
    <t>NEOBUSD</t>
  </si>
  <si>
    <t>WAVESBUSD</t>
  </si>
  <si>
    <t>XTZBUSD</t>
  </si>
  <si>
    <t>EOSBULLUSDT</t>
  </si>
  <si>
    <t>EOSBULLBUSD</t>
  </si>
  <si>
    <t>EOSBEARUSDT</t>
  </si>
  <si>
    <t>EOSBEARBUSD</t>
  </si>
  <si>
    <t>XRPBULLUSDT</t>
  </si>
  <si>
    <t>XRPBULLBUSD</t>
  </si>
  <si>
    <t>XRPBEARUSDT</t>
  </si>
  <si>
    <t>XRPBEARBUSD</t>
  </si>
  <si>
    <t>BATBUSD</t>
  </si>
  <si>
    <t>ENJBUSD</t>
  </si>
  <si>
    <t>NANOBUSD</t>
  </si>
  <si>
    <t>ONTBUSD</t>
  </si>
  <si>
    <t>RVNBUSD</t>
  </si>
  <si>
    <t>STRATBUSD</t>
  </si>
  <si>
    <t>STRATBNB</t>
  </si>
  <si>
    <t>STRATUSDT</t>
  </si>
  <si>
    <t>AIONBUSD</t>
  </si>
  <si>
    <t>AIONUSDT</t>
  </si>
  <si>
    <t>MBLBNB</t>
  </si>
  <si>
    <t>MBLBTC</t>
  </si>
  <si>
    <t>MBLUSDT</t>
  </si>
  <si>
    <t>COTIBNB</t>
  </si>
  <si>
    <t>COTIBTC</t>
  </si>
  <si>
    <t>COTIUSDT</t>
  </si>
  <si>
    <t>ALGOBUSD</t>
  </si>
  <si>
    <t>BTTBUSD</t>
  </si>
  <si>
    <t>TOMOBUSD</t>
  </si>
  <si>
    <t>XMRBUSD</t>
  </si>
  <si>
    <t>ZECBUSD</t>
  </si>
  <si>
    <t>BNBBULLUSDT</t>
  </si>
  <si>
    <t>BNBBULLBUSD</t>
  </si>
  <si>
    <t>BNBBEARUSDT</t>
  </si>
  <si>
    <t>BNBBEARBUSD</t>
  </si>
  <si>
    <t>STPTBNB</t>
  </si>
  <si>
    <t>STPTBTC</t>
  </si>
  <si>
    <t>STPTUSDT</t>
  </si>
  <si>
    <t>BTCZAR</t>
  </si>
  <si>
    <t>ETHZAR</t>
  </si>
  <si>
    <t>BNBZAR</t>
  </si>
  <si>
    <t>USDTZAR</t>
  </si>
  <si>
    <t>BUSDZAR</t>
  </si>
  <si>
    <t>BTCBKRW</t>
  </si>
  <si>
    <t>ETHBKRW</t>
  </si>
  <si>
    <t>BNBBKRW</t>
  </si>
  <si>
    <t>WTCUSDT</t>
  </si>
  <si>
    <t>DATABUSD</t>
  </si>
  <si>
    <t>DATAUSDT</t>
  </si>
  <si>
    <t>XZCUSDT</t>
  </si>
  <si>
    <t>SOLBNB</t>
  </si>
  <si>
    <t>SOLBTC</t>
  </si>
  <si>
    <t>SOLUSDT</t>
  </si>
  <si>
    <t>SOLBUSD</t>
  </si>
  <si>
    <t>BTCIDRT</t>
  </si>
  <si>
    <t>BNBIDRT</t>
  </si>
  <si>
    <t>USDTIDRT</t>
  </si>
  <si>
    <t>BUSDIDRT</t>
  </si>
  <si>
    <t>CTSIBTC</t>
  </si>
  <si>
    <t>CTSIUSDT</t>
  </si>
  <si>
    <t>CTSIBNB</t>
  </si>
  <si>
    <t>CTSIBUSD</t>
  </si>
  <si>
    <t>HIVEBNB</t>
  </si>
  <si>
    <t>HIVEBTC</t>
  </si>
  <si>
    <t>HIVEUSDT</t>
  </si>
  <si>
    <t>CHRBNB</t>
  </si>
  <si>
    <t>CHRBTC</t>
  </si>
  <si>
    <t>CHRUSDT</t>
  </si>
  <si>
    <t>BTCUPUSDT</t>
  </si>
  <si>
    <t>BTCDOWNUSDT</t>
  </si>
  <si>
    <t>GXSUSDT</t>
  </si>
  <si>
    <t>ARDRUSDT</t>
  </si>
  <si>
    <t>ERDBUSD</t>
  </si>
  <si>
    <t>LENDUSDT</t>
  </si>
  <si>
    <t>HBARBUSD</t>
  </si>
  <si>
    <t>MATICBUSD</t>
  </si>
  <si>
    <t>WRXBUSD</t>
  </si>
  <si>
    <t>ZILBUSD</t>
  </si>
  <si>
    <t>MDTBNB</t>
  </si>
  <si>
    <t>MDTBTC</t>
  </si>
  <si>
    <t>MDTUSDT</t>
  </si>
  <si>
    <t>STMXBTC</t>
  </si>
  <si>
    <t>STMXETH</t>
  </si>
  <si>
    <t>STMXUSDT</t>
  </si>
  <si>
    <t>KNCBUSD</t>
  </si>
  <si>
    <t>KNCUSDT</t>
  </si>
  <si>
    <t>REPBUSD</t>
  </si>
  <si>
    <t>REPUSDT</t>
  </si>
  <si>
    <t>LRCBUSD</t>
  </si>
  <si>
    <t>LRCUSDT</t>
  </si>
  <si>
    <t>IQBNB</t>
  </si>
  <si>
    <t>IQBUSD</t>
  </si>
  <si>
    <t>PNTBTC</t>
  </si>
  <si>
    <t>PNTUSDT</t>
  </si>
  <si>
    <t>BTCGBP</t>
  </si>
  <si>
    <t>ETHGBP</t>
  </si>
  <si>
    <t>XRPGBP</t>
  </si>
  <si>
    <t>BNBGBP</t>
  </si>
  <si>
    <t>GBPBUSD</t>
  </si>
  <si>
    <t>DGBBTC</t>
  </si>
  <si>
    <t>DGBBUSD</t>
  </si>
  <si>
    <t>BTCUAH</t>
  </si>
  <si>
    <t>USDTUAH</t>
  </si>
  <si>
    <t>COMPBTC</t>
  </si>
  <si>
    <t>COMPBNB</t>
  </si>
  <si>
    <t>COMPBUSD</t>
  </si>
  <si>
    <t>COMPUSDT</t>
  </si>
  <si>
    <t>BTCBIDR</t>
  </si>
  <si>
    <t>ETHBIDR</t>
  </si>
  <si>
    <t>BNBBIDR</t>
  </si>
  <si>
    <t>BUSDBIDR</t>
  </si>
  <si>
    <t>USDTBIDR</t>
  </si>
  <si>
    <t>BKRWUSDT</t>
  </si>
  <si>
    <t>BKRWBUSD</t>
  </si>
  <si>
    <t>SCUSDT</t>
  </si>
  <si>
    <t>ZENUSDT</t>
  </si>
  <si>
    <t>SXPBTC</t>
  </si>
  <si>
    <t>SXPBNB</t>
  </si>
  <si>
    <t>SXPBUSD</t>
  </si>
  <si>
    <t>SNXBTC</t>
  </si>
  <si>
    <t>SNXBNB</t>
  </si>
  <si>
    <t>SNXBUSD</t>
  </si>
  <si>
    <t>SNXUSDT</t>
  </si>
  <si>
    <t>ETHUPUSDT</t>
  </si>
  <si>
    <t>ETHDOWNUSDT</t>
  </si>
  <si>
    <t>ADAUPUSDT</t>
  </si>
  <si>
    <t>ADADOWNUSDT</t>
  </si>
  <si>
    <t>LINKUPUSDT</t>
  </si>
  <si>
    <t>LINKDOWNUSDT</t>
  </si>
  <si>
    <t>VTHOBNB</t>
  </si>
  <si>
    <t>VTHOBUSD</t>
  </si>
  <si>
    <t>VTHOUSDT</t>
  </si>
  <si>
    <t>DCRBUSD</t>
  </si>
  <si>
    <t>DGBUSDT</t>
  </si>
  <si>
    <t>GBPUSDT</t>
  </si>
  <si>
    <t>STORJBUSD</t>
  </si>
  <si>
    <t>SXPUSDT</t>
  </si>
  <si>
    <t>IRISBNB</t>
  </si>
  <si>
    <t>IRISBTC</t>
  </si>
  <si>
    <t>IRISBUSD</t>
  </si>
  <si>
    <t>MKRBNB</t>
  </si>
  <si>
    <t>MKRBTC</t>
  </si>
  <si>
    <t>MKRUSDT</t>
  </si>
  <si>
    <t>MKRBUSD</t>
  </si>
  <si>
    <t>DAIBNB</t>
  </si>
  <si>
    <t>DAIBTC</t>
  </si>
  <si>
    <t>DAIUSDT</t>
  </si>
  <si>
    <t>DAIBUSD</t>
  </si>
  <si>
    <t>RUNEBNB</t>
  </si>
  <si>
    <t>RUNEBTC</t>
  </si>
  <si>
    <t>RUNEBUSD</t>
  </si>
  <si>
    <t>MANABUSD</t>
  </si>
  <si>
    <t>DOGEBUSD</t>
  </si>
  <si>
    <t>LENDBUSD</t>
  </si>
  <si>
    <t>ZRXBUSD</t>
  </si>
  <si>
    <t>DCRUSDT</t>
  </si>
  <si>
    <t>STORJUSDT</t>
  </si>
  <si>
    <t>XRPBKRW</t>
  </si>
  <si>
    <t>ADABKRW</t>
  </si>
  <si>
    <t>BTCAUD</t>
  </si>
  <si>
    <t>ETHAUD</t>
  </si>
  <si>
    <t>AUDBUSD</t>
  </si>
  <si>
    <t>FIOBNB</t>
  </si>
  <si>
    <t>FIOBTC</t>
  </si>
  <si>
    <t>FIOBUSD</t>
  </si>
  <si>
    <t>BNBUPUSDT</t>
  </si>
  <si>
    <t>BNBDOWNUSDT</t>
  </si>
  <si>
    <t>XTZUPUSDT</t>
  </si>
  <si>
    <t>XTZDOWNUSDT</t>
  </si>
  <si>
    <t>AVABNB</t>
  </si>
  <si>
    <t>AVABTC</t>
  </si>
  <si>
    <t>AVABUSD</t>
  </si>
  <si>
    <t>USDTBKRW</t>
  </si>
  <si>
    <t>BUSDBKRW</t>
  </si>
  <si>
    <t>IOTABUSD</t>
  </si>
  <si>
    <t>MANAUSDT</t>
  </si>
  <si>
    <t>XRPAUD</t>
  </si>
  <si>
    <t>BNBAUD</t>
  </si>
  <si>
    <t>AUDUSDT</t>
  </si>
  <si>
    <t>BALBNB</t>
  </si>
  <si>
    <t>BALBTC</t>
  </si>
  <si>
    <t>BALBUSD</t>
  </si>
  <si>
    <t>YFIBNB</t>
  </si>
  <si>
    <t>YFIBTC</t>
  </si>
  <si>
    <t>YFIBUSD</t>
  </si>
  <si>
    <t>YFIUSDT</t>
  </si>
  <si>
    <t>BLZBUSD</t>
  </si>
  <si>
    <t>KMDBUSD</t>
  </si>
  <si>
    <t>BALUSDT</t>
  </si>
  <si>
    <t>BLZUSDT</t>
  </si>
  <si>
    <t>IRISUSDT</t>
  </si>
  <si>
    <t>KMDUSDT</t>
  </si>
  <si>
    <t>BTCDAI</t>
  </si>
  <si>
    <t>ETHDAI</t>
  </si>
  <si>
    <t>BNBDAI</t>
  </si>
  <si>
    <t>USDTDAI</t>
  </si>
  <si>
    <t>BUSDDAI</t>
  </si>
  <si>
    <t>JSTBNB</t>
  </si>
  <si>
    <t>JSTBTC</t>
  </si>
  <si>
    <t>JSTBUSD</t>
  </si>
  <si>
    <t>JSTUSDT</t>
  </si>
  <si>
    <t>SRMBNB</t>
  </si>
  <si>
    <t>SRMBTC</t>
  </si>
  <si>
    <t>SRMBUSD</t>
  </si>
  <si>
    <t>SRMUSDT</t>
  </si>
  <si>
    <t>ANTBNB</t>
  </si>
  <si>
    <t>ANTBTC</t>
  </si>
  <si>
    <t>ANTBUSD</t>
  </si>
  <si>
    <t>ANTUSDT</t>
  </si>
  <si>
    <t>CRVBNB</t>
  </si>
  <si>
    <t>CRVBTC</t>
  </si>
  <si>
    <t>CRVBUSD</t>
  </si>
  <si>
    <t>CRVUSDT</t>
  </si>
  <si>
    <t>SANDBNB</t>
  </si>
  <si>
    <t>SANDBTC</t>
  </si>
  <si>
    <t>SANDUSDT</t>
  </si>
  <si>
    <t>SANDBUSD</t>
  </si>
  <si>
    <t>OCEANBNB</t>
  </si>
  <si>
    <t>OCEANBTC</t>
  </si>
  <si>
    <t>OCEANBUSD</t>
  </si>
  <si>
    <t>OCEANUSDT</t>
  </si>
  <si>
    <t>NMRBTC</t>
  </si>
  <si>
    <t>NMRBUSD</t>
  </si>
  <si>
    <t>NMRUSDT</t>
  </si>
  <si>
    <t>DOTBNB</t>
  </si>
  <si>
    <t>DOTBTC</t>
  </si>
  <si>
    <t>DOTBUSD</t>
  </si>
  <si>
    <t>DOTUSDT</t>
  </si>
  <si>
    <t>LUNABNB</t>
  </si>
  <si>
    <t>LUNABTC</t>
  </si>
  <si>
    <t>LUNABUSD</t>
  </si>
  <si>
    <t>LUNAUSDT</t>
  </si>
  <si>
    <t>IDEXBTC</t>
  </si>
  <si>
    <t>IDEXBUSD</t>
  </si>
  <si>
    <t>RSRBNB</t>
  </si>
  <si>
    <t>RSRBTC</t>
  </si>
  <si>
    <t>RSRBUSD</t>
  </si>
  <si>
    <t>RSRUSDT</t>
  </si>
  <si>
    <t>PAXGBNB</t>
  </si>
  <si>
    <t>PAXGBTC</t>
  </si>
  <si>
    <t>PAXGBUSD</t>
  </si>
  <si>
    <t>PAXGUSDT</t>
  </si>
  <si>
    <t>WNXMBNB</t>
  </si>
  <si>
    <t>WNXMBTC</t>
  </si>
  <si>
    <t>WNXMBUSD</t>
  </si>
  <si>
    <t>WNXMUSDT</t>
  </si>
  <si>
    <t>TRBBNB</t>
  </si>
  <si>
    <t>TRBBTC</t>
  </si>
  <si>
    <t>TRBBUSD</t>
  </si>
  <si>
    <t>TRBUSDT</t>
  </si>
  <si>
    <t>ETHNGN</t>
  </si>
  <si>
    <t>DOTBIDR</t>
  </si>
  <si>
    <t>LINKAUD</t>
  </si>
  <si>
    <t>SXPAUD</t>
  </si>
  <si>
    <t>BZRXBNB</t>
  </si>
  <si>
    <t>BZRXBTC</t>
  </si>
  <si>
    <t>BZRXBUSD</t>
  </si>
  <si>
    <t>BZRXUSDT</t>
  </si>
  <si>
    <t>WBTCBTC</t>
  </si>
  <si>
    <t>WBTCETH</t>
  </si>
  <si>
    <t>SUSHIBNB</t>
  </si>
  <si>
    <t>SUSHIBTC</t>
  </si>
  <si>
    <t>SUSHIBUSD</t>
  </si>
  <si>
    <t>SUSHIUSDT</t>
  </si>
  <si>
    <t>YFIIBNB</t>
  </si>
  <si>
    <t>YFIIBTC</t>
  </si>
  <si>
    <t>YFIIBUSD</t>
  </si>
  <si>
    <t>YFIIUSDT</t>
  </si>
  <si>
    <t>KSMBNB</t>
  </si>
  <si>
    <t>KSMBTC</t>
  </si>
  <si>
    <t>KSMBUSD</t>
  </si>
  <si>
    <t>KSMUSDT</t>
  </si>
  <si>
    <t>EGLDBNB</t>
  </si>
  <si>
    <t>EGLDBTC</t>
  </si>
  <si>
    <t>EGLDBUSD</t>
  </si>
  <si>
    <t>EGLDUSDT</t>
  </si>
  <si>
    <t>DIABNB</t>
  </si>
  <si>
    <t>DIABTC</t>
  </si>
  <si>
    <t>DIABUSD</t>
  </si>
  <si>
    <t>DIAUSDT</t>
  </si>
  <si>
    <t>RUNEUSDT</t>
  </si>
  <si>
    <t>FIOUSDT</t>
  </si>
  <si>
    <t>UMABTC</t>
  </si>
  <si>
    <t>UMAUSDT</t>
  </si>
  <si>
    <t>EOSUPUSDT</t>
  </si>
  <si>
    <t>EOSDOWNUSDT</t>
  </si>
  <si>
    <t>TRXUPUSDT</t>
  </si>
  <si>
    <t>TRXDOWNUSDT</t>
  </si>
  <si>
    <t>XRPUPUSDT</t>
  </si>
  <si>
    <t>XRPDOWNUSDT</t>
  </si>
  <si>
    <t>DOTUPUSDT</t>
  </si>
  <si>
    <t>DOTDOWNUSDT</t>
  </si>
  <si>
    <t>SRMBIDR</t>
  </si>
  <si>
    <t>ONEBIDR</t>
  </si>
  <si>
    <t>LINKTRY</t>
  </si>
  <si>
    <t>USDTNGN</t>
  </si>
  <si>
    <t>BELBNB</t>
  </si>
  <si>
    <t>BELBTC</t>
  </si>
  <si>
    <t>BELBUSD</t>
  </si>
  <si>
    <t>BELUSDT</t>
  </si>
  <si>
    <t>WINGBNB</t>
  </si>
  <si>
    <t>WINGBTC</t>
  </si>
  <si>
    <t>SWRVBNB</t>
  </si>
  <si>
    <t>SWRVBUSD</t>
  </si>
  <si>
    <t>WINGBUSD</t>
  </si>
  <si>
    <t>WINGUSDT</t>
  </si>
  <si>
    <t>LTCUPUSDT</t>
  </si>
  <si>
    <t>LTCDOWNUSDT</t>
  </si>
  <si>
    <t>LENDBKRW</t>
  </si>
  <si>
    <t>SXPEUR</t>
  </si>
  <si>
    <t>CREAMBNB</t>
  </si>
  <si>
    <t>CREAMBUSD</t>
  </si>
  <si>
    <t>UNIBNB</t>
  </si>
  <si>
    <t>UNIBTC</t>
  </si>
  <si>
    <t>UNIBUSD</t>
  </si>
  <si>
    <t>UNIUSDT</t>
  </si>
  <si>
    <t>NBSBTC</t>
  </si>
  <si>
    <t>NBSUSDT</t>
  </si>
  <si>
    <t>OXTBTC</t>
  </si>
  <si>
    <t>OXTUSDT</t>
  </si>
  <si>
    <t>SUNBTC</t>
  </si>
  <si>
    <t>SUNUSDT</t>
  </si>
  <si>
    <t>AVAXBNB</t>
  </si>
  <si>
    <t>AVAXBTC</t>
  </si>
  <si>
    <t>AVAXBUSD</t>
  </si>
  <si>
    <t>AVAXUSDT</t>
  </si>
  <si>
    <t>HNTBTC</t>
  </si>
  <si>
    <t>HNTUSDT</t>
  </si>
  <si>
    <t>BAKEBNB</t>
  </si>
  <si>
    <t>BURGERBNB</t>
  </si>
  <si>
    <t>SXPBIDR</t>
  </si>
  <si>
    <t>LINKBKRW</t>
  </si>
  <si>
    <t>FLMBNB</t>
  </si>
  <si>
    <t>FLMBTC</t>
  </si>
  <si>
    <t>FLMBUSD</t>
  </si>
  <si>
    <t>FLMUSDT</t>
  </si>
  <si>
    <t>SCRTBTC</t>
  </si>
  <si>
    <t>SCRTETH</t>
  </si>
  <si>
    <t>CAKEBNB</t>
  </si>
  <si>
    <t>CAKEBUSD</t>
  </si>
  <si>
    <t>SPARTABNB</t>
  </si>
  <si>
    <t>UNIUPUSDT</t>
  </si>
  <si>
    <t>UNIDOWNUSDT</t>
  </si>
  <si>
    <t>ORNBTC</t>
  </si>
  <si>
    <t>ORNUSDT</t>
  </si>
  <si>
    <t>TRXNGN</t>
  </si>
  <si>
    <t>SXPTRY</t>
  </si>
  <si>
    <t>UTKBTC</t>
  </si>
  <si>
    <t>UTKUSDT</t>
  </si>
  <si>
    <t>XVSBNB</t>
  </si>
  <si>
    <t>XVSBTC</t>
  </si>
  <si>
    <t>XVSBUSD</t>
  </si>
  <si>
    <t>XVSUSDT</t>
  </si>
  <si>
    <t>ALPHABNB</t>
  </si>
  <si>
    <t>ALPHABTC</t>
  </si>
  <si>
    <t>ALPHABUSD</t>
  </si>
  <si>
    <t>ALPHAUSDT</t>
  </si>
  <si>
    <t>VIDTBTC</t>
  </si>
  <si>
    <t>VIDTBUSD</t>
  </si>
  <si>
    <t>AAVEBNB</t>
  </si>
  <si>
    <t>BTCBRL</t>
  </si>
  <si>
    <t>USDTBRL</t>
  </si>
  <si>
    <t>AAVEBTC</t>
  </si>
  <si>
    <t>AAVEETH</t>
  </si>
  <si>
    <t>AAVEBUSD</t>
  </si>
  <si>
    <t>AAVEUSDT</t>
  </si>
  <si>
    <t>AAVEBKRW</t>
  </si>
  <si>
    <t>NEARBNB</t>
  </si>
  <si>
    <t>NEARBTC</t>
  </si>
  <si>
    <t>NEARBUSD</t>
  </si>
  <si>
    <t>NEARUSDT</t>
  </si>
  <si>
    <t>SXPUPUSDT</t>
  </si>
  <si>
    <t>SXPDOWNUSDT</t>
  </si>
  <si>
    <t>DOTBKRW</t>
  </si>
  <si>
    <t>SXPGBP</t>
  </si>
  <si>
    <t>FILBNB</t>
  </si>
  <si>
    <t>FILBTC</t>
  </si>
  <si>
    <t>FILBUSD</t>
  </si>
  <si>
    <t>FILUSDT</t>
  </si>
  <si>
    <t>FILUPUSDT</t>
  </si>
  <si>
    <t>FILDOWNUSDT</t>
  </si>
  <si>
    <t>YFIUPUSDT</t>
  </si>
  <si>
    <t>YFIDOWNUSDT</t>
  </si>
  <si>
    <t>INJBNB</t>
  </si>
  <si>
    <t>INJBTC</t>
  </si>
  <si>
    <t>INJBUSD</t>
  </si>
  <si>
    <t>INJUSDT</t>
  </si>
  <si>
    <t>AERGOBTC</t>
  </si>
  <si>
    <t>AERGOBUSD</t>
  </si>
  <si>
    <t>LINKEUR</t>
  </si>
  <si>
    <t>ONEBUSD</t>
  </si>
  <si>
    <t>EASYETH</t>
  </si>
  <si>
    <t>AUDIOBTC</t>
  </si>
  <si>
    <t>AUDIOBUSD</t>
  </si>
  <si>
    <t>AUDIOUSDT</t>
  </si>
  <si>
    <t>CTKBNB</t>
  </si>
  <si>
    <t>CTKBTC</t>
  </si>
  <si>
    <t>CTKBUSD</t>
  </si>
  <si>
    <t>CTKUSDT</t>
  </si>
  <si>
    <t>BCHUPUSDT</t>
  </si>
  <si>
    <t>BCHDOWNUSDT</t>
  </si>
  <si>
    <t>BOTBTC</t>
  </si>
  <si>
    <t>BOTBUSD</t>
  </si>
  <si>
    <t>ETHBRL</t>
  </si>
  <si>
    <t>DOTEUR</t>
  </si>
  <si>
    <t>AKROBTC</t>
  </si>
  <si>
    <t>AKROUSDT</t>
  </si>
  <si>
    <t>KP3RBNB</t>
  </si>
  <si>
    <t>KP3RBUSD</t>
  </si>
  <si>
    <t>AXSBNB</t>
  </si>
  <si>
    <t>AXSBTC</t>
  </si>
  <si>
    <t>AXSBUSD</t>
  </si>
  <si>
    <t>AXSUSDT</t>
  </si>
  <si>
    <t>HARDBNB</t>
  </si>
  <si>
    <t>HARDBTC</t>
  </si>
  <si>
    <t>HARDBUSD</t>
  </si>
  <si>
    <t>HARDUSDT</t>
  </si>
  <si>
    <t>BNBBRL</t>
  </si>
  <si>
    <t>LTCEUR</t>
  </si>
  <si>
    <t>RENBTCBTC</t>
  </si>
  <si>
    <t>RENBTCETH</t>
  </si>
  <si>
    <t>DNTBUSD</t>
  </si>
  <si>
    <t>DNTUSDT</t>
  </si>
  <si>
    <t>SLPETH</t>
  </si>
  <si>
    <t>ADAEUR</t>
  </si>
  <si>
    <t>LTCNGN</t>
  </si>
  <si>
    <t>CVPETH</t>
  </si>
  <si>
    <t>CVPBUSD</t>
  </si>
  <si>
    <t>STRAXBTC</t>
  </si>
  <si>
    <t>STRAXETH</t>
  </si>
  <si>
    <t>STRAXBUSD</t>
  </si>
  <si>
    <t>STRAXUSDT</t>
  </si>
  <si>
    <t>FORBTC</t>
  </si>
  <si>
    <t>FORBUSD</t>
  </si>
  <si>
    <t>UNFIBNB</t>
  </si>
  <si>
    <t>UNFIBTC</t>
  </si>
  <si>
    <t>UNFIBUSD</t>
  </si>
  <si>
    <t>UNFIUSDT</t>
  </si>
  <si>
    <t>FRONTETH</t>
  </si>
  <si>
    <t>FRONTBUSD</t>
  </si>
  <si>
    <t>BCHABUSD</t>
  </si>
  <si>
    <t>ROSEBTC</t>
  </si>
  <si>
    <t>ROSEBUSD</t>
  </si>
  <si>
    <t>ROSEUSDT</t>
  </si>
  <si>
    <t>AVAXTRY</t>
  </si>
  <si>
    <t>BUSDBRL</t>
  </si>
  <si>
    <t>AVAUSDT</t>
  </si>
  <si>
    <t>SYSBUSD</t>
  </si>
  <si>
    <t>XEMUSDT</t>
  </si>
  <si>
    <t>HEGICETH</t>
  </si>
  <si>
    <t>HEGICBUSD</t>
  </si>
  <si>
    <t>AAVEUPUSDT</t>
  </si>
  <si>
    <t>AAVEDOWNUSDT</t>
  </si>
  <si>
    <t>PROMBNB</t>
  </si>
  <si>
    <t>PROMBUSD</t>
  </si>
  <si>
    <t>XRPBRL</t>
  </si>
  <si>
    <t>XRPNGN</t>
  </si>
  <si>
    <t>SKLBTC</t>
  </si>
  <si>
    <t>SKLBUSD</t>
  </si>
  <si>
    <t>SKLUSDT</t>
  </si>
  <si>
    <t>BCHEUR</t>
  </si>
  <si>
    <t>YFIEUR</t>
  </si>
  <si>
    <t>ZILBIDR</t>
  </si>
  <si>
    <t>SUSDBTC</t>
  </si>
  <si>
    <t>SUSDETH</t>
  </si>
  <si>
    <t>SUSDUSDT</t>
  </si>
  <si>
    <t>COVERETH</t>
  </si>
  <si>
    <t>COVERBUSD</t>
  </si>
  <si>
    <t>GLMBTC</t>
  </si>
  <si>
    <t>GLMETH</t>
  </si>
  <si>
    <t>GHSTETH</t>
  </si>
  <si>
    <t>GHSTBUSD</t>
  </si>
  <si>
    <t>SUSHIUPUSDT</t>
  </si>
  <si>
    <t>SUSHIDOWNUSDT</t>
  </si>
  <si>
    <t>XLMUPUSDT</t>
  </si>
  <si>
    <t>XLMDOWNUSDT</t>
  </si>
  <si>
    <t>LINKBRL</t>
  </si>
  <si>
    <t>LINKNGN</t>
  </si>
  <si>
    <t>LTCRUB</t>
  </si>
  <si>
    <t>TRXTRY</t>
  </si>
  <si>
    <t>XLMEUR</t>
  </si>
  <si>
    <t>DFETH</t>
  </si>
  <si>
    <t>DFBUSD</t>
  </si>
  <si>
    <t>GRTBTC</t>
  </si>
  <si>
    <t>GRTETH</t>
  </si>
  <si>
    <t>GRTUSDT</t>
  </si>
  <si>
    <t>JUVBTC</t>
  </si>
  <si>
    <t>JUVBUSD</t>
  </si>
  <si>
    <t>JUVUSDT</t>
  </si>
  <si>
    <t>PSGBTC</t>
  </si>
  <si>
    <t>PSGBUSD</t>
  </si>
  <si>
    <t>PSGUSDT</t>
  </si>
  <si>
    <t>BUSDBVND</t>
  </si>
  <si>
    <t>USDTBVND</t>
  </si>
  <si>
    <t>1INCHBTC</t>
  </si>
  <si>
    <t>1INCHUSDT</t>
  </si>
  <si>
    <t>REEFBTC</t>
  </si>
  <si>
    <t>REEFUSDT</t>
  </si>
  <si>
    <t>OGBTC</t>
  </si>
  <si>
    <t>OGUSDT</t>
  </si>
  <si>
    <t>ATMBTC</t>
  </si>
  <si>
    <t>ATMUSDT</t>
  </si>
  <si>
    <t>ASRBTC</t>
  </si>
  <si>
    <t>ASRUSDT</t>
  </si>
  <si>
    <t>CELOBTC</t>
  </si>
  <si>
    <t>CELOUSDT</t>
  </si>
  <si>
    <t>RIFBTC</t>
  </si>
  <si>
    <t>RIFUSDT</t>
  </si>
  <si>
    <t>CHZTRY</t>
  </si>
  <si>
    <t>XLMTRY</t>
  </si>
  <si>
    <t>LINKGBP</t>
  </si>
  <si>
    <t>GRTEUR</t>
  </si>
  <si>
    <t>BTCSTBTC</t>
  </si>
  <si>
    <t>BTCSTBUSD</t>
  </si>
  <si>
    <t>BTCSTUSDT</t>
  </si>
  <si>
    <t>TRUBTC</t>
  </si>
  <si>
    <t>TRUBUSD</t>
  </si>
  <si>
    <t>TRUUSDT</t>
  </si>
  <si>
    <t>DEXEETH</t>
  </si>
  <si>
    <t>DEXEBUSD</t>
  </si>
  <si>
    <t>EOSEUR</t>
  </si>
  <si>
    <t>LTCBRL</t>
  </si>
  <si>
    <t>USDCBUSD</t>
  </si>
  <si>
    <t>TUSDBUSD</t>
  </si>
  <si>
    <t>PAXBUSD</t>
  </si>
  <si>
    <t>CKBBTC</t>
  </si>
  <si>
    <t>CKBBUSD</t>
  </si>
  <si>
    <t>CKBUSDT</t>
  </si>
  <si>
    <t>TWTBTC</t>
  </si>
  <si>
    <t>TWTBUSD</t>
  </si>
  <si>
    <t>TWTUSDT</t>
  </si>
  <si>
    <t>FIROBTC</t>
  </si>
  <si>
    <t>FIROETH</t>
  </si>
  <si>
    <t>FIROUSDT</t>
  </si>
  <si>
    <t>BETHETH</t>
  </si>
  <si>
    <t>DOGEEUR</t>
  </si>
  <si>
    <t>DOGETRY</t>
  </si>
  <si>
    <t>DOGEAUD</t>
  </si>
  <si>
    <t>DOGEBRL</t>
  </si>
  <si>
    <t>DOTNGN</t>
  </si>
  <si>
    <t>PROSETH</t>
  </si>
  <si>
    <t>LITBTC</t>
  </si>
  <si>
    <t>LITBUSD</t>
  </si>
  <si>
    <t>LITUSDT</t>
  </si>
  <si>
    <t>BTCVAI</t>
  </si>
  <si>
    <t>BUSDVAI</t>
  </si>
  <si>
    <t>SFPBTC</t>
  </si>
  <si>
    <t>SFPBUSD</t>
  </si>
  <si>
    <t>SFPUSDT</t>
  </si>
  <si>
    <t>DOGEGBP</t>
  </si>
  <si>
    <t>DOTTRY</t>
  </si>
  <si>
    <t>FXSBTC</t>
  </si>
  <si>
    <t>FXSBUSD</t>
  </si>
  <si>
    <t>DODOBTC</t>
  </si>
  <si>
    <t>DODOBUSD</t>
  </si>
  <si>
    <t>DODOUSDT</t>
  </si>
  <si>
    <t>FRONTBTC</t>
  </si>
  <si>
    <t>EASYBTC</t>
  </si>
  <si>
    <t>CAKEBTC</t>
  </si>
  <si>
    <t>CAKEUSDT</t>
  </si>
  <si>
    <t>BAKEBUSD</t>
  </si>
  <si>
    <t>UFTETH</t>
  </si>
  <si>
    <t>UFTBUSD</t>
  </si>
  <si>
    <t>1INCHBUSD</t>
  </si>
  <si>
    <t>BANDBUSD</t>
  </si>
  <si>
    <t>GRTBUSD</t>
  </si>
  <si>
    <t>IOSTBUSD</t>
  </si>
  <si>
    <t>OMGBUSD</t>
  </si>
  <si>
    <t>REEFBUSD</t>
  </si>
  <si>
    <t>ACMBTC</t>
  </si>
  <si>
    <t>ACMBUSD</t>
  </si>
  <si>
    <t>ACMUSDT</t>
  </si>
  <si>
    <t>AUCTIONBTC</t>
  </si>
  <si>
    <t>AUCTIONBUSD</t>
  </si>
  <si>
    <t>PHABTC</t>
  </si>
  <si>
    <t>PHABUSD</t>
  </si>
  <si>
    <t>DOTGBP</t>
  </si>
  <si>
    <t>ADATRY</t>
  </si>
  <si>
    <t>ADABRL</t>
  </si>
  <si>
    <t>ADAGBP</t>
  </si>
  <si>
    <t>TVKBTC</t>
  </si>
  <si>
    <t>TVKBUSD</t>
  </si>
  <si>
    <t>BADGERBTC</t>
  </si>
  <si>
    <t>BADGERBUSD</t>
  </si>
  <si>
    <t>BADGERUSDT</t>
  </si>
  <si>
    <t>FISBTC</t>
  </si>
  <si>
    <t>FISBUSD</t>
  </si>
  <si>
    <t>FISUSDT</t>
  </si>
  <si>
    <t>DOTBRL</t>
  </si>
  <si>
    <t>ADAAUD</t>
  </si>
  <si>
    <t>HOTTRY</t>
  </si>
  <si>
    <t>EGLDEUR</t>
  </si>
  <si>
    <t>OMBTC</t>
  </si>
  <si>
    <t>OMBUSD</t>
  </si>
  <si>
    <t>OMUSDT</t>
  </si>
  <si>
    <t>PONDBTC</t>
  </si>
  <si>
    <t>PONDBUSD</t>
  </si>
  <si>
    <t>PONDUSDT</t>
  </si>
  <si>
    <t>DEGOBTC</t>
  </si>
  <si>
    <t>DEGOBUSD</t>
  </si>
  <si>
    <t>DEGOUSDT</t>
  </si>
  <si>
    <t>AVAXEUR</t>
  </si>
  <si>
    <t>BTTTRY</t>
  </si>
  <si>
    <t>CHZBRL</t>
  </si>
  <si>
    <t>UNIEUR</t>
  </si>
  <si>
    <t>ALICEBTC</t>
  </si>
  <si>
    <t>ALICEBUSD</t>
  </si>
  <si>
    <t>ALICEUSDT</t>
  </si>
  <si>
    <t>CHZBUSD</t>
  </si>
  <si>
    <t>CHZEUR</t>
  </si>
  <si>
    <t>CHZGBP</t>
  </si>
  <si>
    <t>BIFIBNB</t>
  </si>
  <si>
    <t>BIFIBUSD</t>
  </si>
  <si>
    <t>LINABTC</t>
  </si>
  <si>
    <t>LINABUSD</t>
  </si>
  <si>
    <t>LINAUSDT</t>
  </si>
  <si>
    <t>ADARUB</t>
  </si>
  <si>
    <t>ENJBRL</t>
  </si>
  <si>
    <t>ENJEUR</t>
  </si>
  <si>
    <t>MATICEUR</t>
  </si>
  <si>
    <t>NEOTRY</t>
  </si>
  <si>
    <t>PERPBTC</t>
  </si>
  <si>
    <t>PERPBUSD</t>
  </si>
  <si>
    <t>PERPUSDT</t>
  </si>
  <si>
    <t>RAMPBTC</t>
  </si>
  <si>
    <t>RAMPBUSD</t>
  </si>
  <si>
    <t>RAMPUSDT</t>
  </si>
  <si>
    <t>SUPERBTC</t>
  </si>
  <si>
    <t>SUPERBUSD</t>
  </si>
  <si>
    <t>SUPERUSDT</t>
  </si>
  <si>
    <t>CFXBTC</t>
  </si>
  <si>
    <t>CFXBUSD</t>
  </si>
  <si>
    <t>CFXUSDT</t>
  </si>
  <si>
    <t>ENJGBP</t>
  </si>
  <si>
    <t>EOSTRY</t>
  </si>
  <si>
    <t>LTCGBP</t>
  </si>
  <si>
    <t>LUNAEUR</t>
  </si>
  <si>
    <t>RVNTRY</t>
  </si>
  <si>
    <t>THETAEUR</t>
  </si>
  <si>
    <t>XVGBUSD</t>
  </si>
  <si>
    <t>EPSBTC</t>
  </si>
  <si>
    <t>EPSBUSD</t>
  </si>
  <si>
    <t>EPSUSDT</t>
  </si>
  <si>
    <t>AUTOBTC</t>
  </si>
  <si>
    <t>AUTOBUSD</t>
  </si>
  <si>
    <t>AUTOUSDT</t>
  </si>
  <si>
    <t>TKOBTC</t>
  </si>
  <si>
    <t>TKOBIDR</t>
  </si>
  <si>
    <t>TKOBUSD</t>
  </si>
  <si>
    <t>TKOUSDT</t>
  </si>
  <si>
    <t>PUNDIXETH</t>
  </si>
  <si>
    <t>PUNDIXUSDT</t>
  </si>
  <si>
    <t>BTTBRL</t>
  </si>
  <si>
    <t>BTTEUR</t>
  </si>
  <si>
    <t>HOTEUR</t>
  </si>
  <si>
    <t>WINEUR</t>
  </si>
  <si>
    <t>TLMBTC</t>
  </si>
  <si>
    <t>TLMBUSD</t>
  </si>
  <si>
    <t>TLMUSDT</t>
  </si>
  <si>
    <t>1INCHUPUSDT</t>
  </si>
  <si>
    <t>1INCHDOWNUSDT</t>
  </si>
  <si>
    <t>BTGBUSD</t>
  </si>
  <si>
    <t>BTGUSDT</t>
  </si>
  <si>
    <t>HOTBUSD</t>
  </si>
  <si>
    <t>BNBUAH</t>
  </si>
  <si>
    <t>ONTTRY</t>
  </si>
  <si>
    <t>VETEUR</t>
  </si>
  <si>
    <t>VETGBP</t>
  </si>
  <si>
    <t>WINBRL</t>
  </si>
  <si>
    <t>MIRBTC</t>
  </si>
  <si>
    <t>MIRBUSD</t>
  </si>
  <si>
    <t>MIRUSDT</t>
  </si>
  <si>
    <t>BARBTC</t>
  </si>
  <si>
    <t>BARBUSD</t>
  </si>
  <si>
    <t>BARUSDT</t>
  </si>
  <si>
    <t>FORTHBTC</t>
  </si>
  <si>
    <t>FORTHBUSD</t>
  </si>
  <si>
    <t>FORTHUSDT</t>
  </si>
  <si>
    <t>CAKEGBP</t>
  </si>
  <si>
    <t>DOGERUB</t>
  </si>
  <si>
    <t>HOTBRL</t>
  </si>
  <si>
    <t>WRXEUR</t>
  </si>
  <si>
    <t>EZBTC</t>
  </si>
  <si>
    <t>EZETH</t>
  </si>
  <si>
    <t>BAKEUSDT</t>
  </si>
  <si>
    <t>BURGERBUSD</t>
  </si>
  <si>
    <t>BURGERUSDT</t>
  </si>
  <si>
    <t>SLPBUSD</t>
  </si>
  <si>
    <t>SLPUSDT</t>
  </si>
  <si>
    <t>TRXAUD</t>
  </si>
  <si>
    <t>TRXEUR</t>
  </si>
  <si>
    <t>VETTRY</t>
  </si>
  <si>
    <t>SHIBUSDT</t>
  </si>
  <si>
    <t>SHIBBUSD</t>
  </si>
  <si>
    <t>ICPBTC</t>
  </si>
  <si>
    <t>ICPBNB</t>
  </si>
  <si>
    <t>ICPBUSD</t>
  </si>
  <si>
    <t>ICPUSDT</t>
  </si>
  <si>
    <t>SHIBEUR</t>
  </si>
  <si>
    <t>SHIBRUB</t>
  </si>
  <si>
    <t>ETCEUR</t>
  </si>
  <si>
    <t>ETCBRL</t>
  </si>
  <si>
    <t>DOGEBIDR</t>
  </si>
  <si>
    <t>ARBTC</t>
  </si>
  <si>
    <t>ARBNB</t>
  </si>
  <si>
    <t>ARBUSD</t>
  </si>
  <si>
    <t>ARUSDT</t>
  </si>
  <si>
    <t>POLSBTC</t>
  </si>
  <si>
    <t>POLSBNB</t>
  </si>
  <si>
    <t>POLSBUSD</t>
  </si>
  <si>
    <t>POLSUSDT</t>
  </si>
  <si>
    <t>MDXBTC</t>
  </si>
  <si>
    <t>MDXBNB</t>
  </si>
  <si>
    <t>MDXBUSD</t>
  </si>
  <si>
    <t>MDXUSDT</t>
  </si>
  <si>
    <t>MASKBNB</t>
  </si>
  <si>
    <t>MASKBUSD</t>
  </si>
  <si>
    <t>MASKUSDT</t>
  </si>
  <si>
    <t>LPTBTC</t>
  </si>
  <si>
    <t>LPTBNB</t>
  </si>
  <si>
    <t>LPTBUSD</t>
  </si>
  <si>
    <t>LPTUSDT</t>
  </si>
  <si>
    <t>ETHUAH</t>
  </si>
  <si>
    <t>MATICBRL</t>
  </si>
  <si>
    <t>SOLEUR</t>
  </si>
  <si>
    <t>SHIBBRL</t>
  </si>
  <si>
    <t>AGIXBTC</t>
  </si>
  <si>
    <t>ICPEUR</t>
  </si>
  <si>
    <t>MATICGBP</t>
  </si>
  <si>
    <t>SHIBTRY</t>
  </si>
  <si>
    <t>MATICBIDR</t>
  </si>
  <si>
    <t>MATICRUB</t>
  </si>
  <si>
    <t>NUBTC</t>
  </si>
  <si>
    <t>NUBNB</t>
  </si>
  <si>
    <t>NUBUSD</t>
  </si>
  <si>
    <t>NUUSDT</t>
  </si>
  <si>
    <t>XVGUSDT</t>
  </si>
  <si>
    <t>RLCBUSD</t>
  </si>
  <si>
    <t>CELRBUSD</t>
  </si>
  <si>
    <t>ATMBUSD</t>
  </si>
  <si>
    <t>ZENBUSD</t>
  </si>
  <si>
    <t>FTMBUSD</t>
  </si>
  <si>
    <t>THETABUSD</t>
  </si>
  <si>
    <t>WINBUSD</t>
  </si>
  <si>
    <t>KAVABUSD</t>
  </si>
  <si>
    <t>XEMBUSD</t>
  </si>
  <si>
    <t>ATABTC</t>
  </si>
  <si>
    <t>ATABNB</t>
  </si>
  <si>
    <t>ATABUSD</t>
  </si>
  <si>
    <t>ATAUSDT</t>
  </si>
  <si>
    <t>GTCBTC</t>
  </si>
  <si>
    <t>GTCBNB</t>
  </si>
  <si>
    <t>GTCBUSD</t>
  </si>
  <si>
    <t>GTCUSDT</t>
  </si>
  <si>
    <t>TORNBTC</t>
  </si>
  <si>
    <t>TORNBNB</t>
  </si>
  <si>
    <t>TORNBUSD</t>
  </si>
  <si>
    <t>TORNUSDT</t>
  </si>
  <si>
    <t>MATICTRY</t>
  </si>
  <si>
    <t>ETCGBP</t>
  </si>
  <si>
    <t>SOLGBP</t>
  </si>
  <si>
    <t>BAKEBTC</t>
  </si>
  <si>
    <t>COTIBUSD</t>
  </si>
  <si>
    <t>KEEPBTC</t>
  </si>
  <si>
    <t>KEEPBNB</t>
  </si>
  <si>
    <t>KEEPBUSD</t>
  </si>
  <si>
    <t>KEEPUSDT</t>
  </si>
  <si>
    <t>SOLTRY</t>
  </si>
  <si>
    <t>RUNEGBP</t>
  </si>
  <si>
    <t>SOLBRL</t>
  </si>
  <si>
    <t>SCBUSD</t>
  </si>
  <si>
    <t>CHRBUSD</t>
  </si>
  <si>
    <t>STMXBUSD</t>
  </si>
  <si>
    <t>HNTBUSD</t>
  </si>
  <si>
    <t>FTTBUSD</t>
  </si>
  <si>
    <t>DOCKBUSD</t>
  </si>
  <si>
    <t>ADABIDR</t>
  </si>
  <si>
    <t>ERNBNB</t>
  </si>
  <si>
    <t>ERNBUSD</t>
  </si>
  <si>
    <t>ERNUSDT</t>
  </si>
  <si>
    <t>KLAYBTC</t>
  </si>
  <si>
    <t>KLAYBNB</t>
  </si>
  <si>
    <t>KLAYBUSD</t>
  </si>
  <si>
    <t>KLAYUSDT</t>
  </si>
  <si>
    <t>RUNEEUR</t>
  </si>
  <si>
    <t>MATICAUD</t>
  </si>
  <si>
    <t>DOTRUB</t>
  </si>
  <si>
    <t>UTKBUSD</t>
  </si>
  <si>
    <t>IOTXBUSD</t>
  </si>
  <si>
    <t>PHAUSDT</t>
  </si>
  <si>
    <t>SOLRUB</t>
  </si>
  <si>
    <t>RUNEAUD</t>
  </si>
  <si>
    <t>BUSDUAH</t>
  </si>
  <si>
    <t>BONDBTC</t>
  </si>
  <si>
    <t>BONDBNB</t>
  </si>
  <si>
    <t>BONDBUSD</t>
  </si>
  <si>
    <t>BONDUSDT</t>
  </si>
  <si>
    <t>MLNBTC</t>
  </si>
  <si>
    <t>MLNBNB</t>
  </si>
  <si>
    <t>MLNBUSD</t>
  </si>
  <si>
    <t>MLNUSDT</t>
  </si>
  <si>
    <t>GRTTRY</t>
  </si>
  <si>
    <t>CAKEBRL</t>
  </si>
  <si>
    <t>ICPRUB</t>
  </si>
  <si>
    <t>DOTAUD</t>
  </si>
  <si>
    <t>AAVEBRL</t>
  </si>
  <si>
    <t>EOSAUD</t>
  </si>
  <si>
    <t>DEXEUSDT</t>
  </si>
  <si>
    <t>LTOBUSD</t>
  </si>
  <si>
    <t>ADXBUSD</t>
  </si>
  <si>
    <t>QUICKBTC</t>
  </si>
  <si>
    <t>QUICKBNB</t>
  </si>
  <si>
    <t>QUICKBUSD</t>
  </si>
  <si>
    <t>C98USDT</t>
  </si>
  <si>
    <t>C98BUSD</t>
  </si>
  <si>
    <t>C98BNB</t>
  </si>
  <si>
    <t>C98BTC</t>
  </si>
  <si>
    <t>CLVBTC</t>
  </si>
  <si>
    <t>CLVBNB</t>
  </si>
  <si>
    <t>CLVBUSD</t>
  </si>
  <si>
    <t>CLVUSDT</t>
  </si>
  <si>
    <t>QNTBTC</t>
  </si>
  <si>
    <t>QNTBNB</t>
  </si>
  <si>
    <t>QNTBUSD</t>
  </si>
  <si>
    <t>QNTUSDT</t>
  </si>
  <si>
    <t>FLOWBTC</t>
  </si>
  <si>
    <t>FLOWBNB</t>
  </si>
  <si>
    <t>FLOWBUSD</t>
  </si>
  <si>
    <t>FLOWUSDT</t>
  </si>
  <si>
    <t>XECBUSD</t>
  </si>
  <si>
    <t>AXSBRL</t>
  </si>
  <si>
    <t>AXSAUD</t>
  </si>
  <si>
    <t>TVKUSDT</t>
  </si>
  <si>
    <t>MINABTC</t>
  </si>
  <si>
    <t>MINABNB</t>
  </si>
  <si>
    <t>MINABUSD</t>
  </si>
  <si>
    <t>MINAUSDT</t>
  </si>
  <si>
    <t>RAYBNB</t>
  </si>
  <si>
    <t>RAYBUSD</t>
  </si>
  <si>
    <t>RAYUSDT</t>
  </si>
  <si>
    <t>FARMBTC</t>
  </si>
  <si>
    <t>FARMBNB</t>
  </si>
  <si>
    <t>FARMBUSD</t>
  </si>
  <si>
    <t>FARMUSDT</t>
  </si>
  <si>
    <t>ALPACABTC</t>
  </si>
  <si>
    <t>ALPACABNB</t>
  </si>
  <si>
    <t>ALPACABUSD</t>
  </si>
  <si>
    <t>ALPACAUSDT</t>
  </si>
  <si>
    <t>TLMTRY</t>
  </si>
  <si>
    <t>QUICKUSDT</t>
  </si>
  <si>
    <t>ORNBUSD</t>
  </si>
  <si>
    <t>MBOXBTC</t>
  </si>
  <si>
    <t>MBOXBNB</t>
  </si>
  <si>
    <t>MBOXBUSD</t>
  </si>
  <si>
    <t>MBOXUSDT</t>
  </si>
  <si>
    <t>VGXBTC</t>
  </si>
  <si>
    <t>VGXETH</t>
  </si>
  <si>
    <t>FORUSDT</t>
  </si>
  <si>
    <t>REQUSDT</t>
  </si>
  <si>
    <t>GHSTUSDT</t>
  </si>
  <si>
    <t>TRURUB</t>
  </si>
  <si>
    <t>FISBRL</t>
  </si>
  <si>
    <t>WAXPUSDT</t>
  </si>
  <si>
    <t>WAXPBUSD</t>
  </si>
  <si>
    <t>WAXPBNB</t>
  </si>
  <si>
    <t>WAXPBTC</t>
  </si>
  <si>
    <t>TRIBEBTC</t>
  </si>
  <si>
    <t>TRIBEBNB</t>
  </si>
  <si>
    <t>TRIBEBUSD</t>
  </si>
  <si>
    <t>TRIBEUSDT</t>
  </si>
  <si>
    <t>GNOUSDT</t>
  </si>
  <si>
    <t>GNOBUSD</t>
  </si>
  <si>
    <t>GNOBNB</t>
  </si>
  <si>
    <t>GNOBTC</t>
  </si>
  <si>
    <t>ARPATRY</t>
  </si>
  <si>
    <t>PROMBTC</t>
  </si>
  <si>
    <t>MTLBUSD</t>
  </si>
  <si>
    <t>OGNBUSD</t>
  </si>
  <si>
    <t>XECUSDT</t>
  </si>
  <si>
    <t>C98BRL</t>
  </si>
  <si>
    <t>SOLAUD</t>
  </si>
  <si>
    <t>XRPBIDR</t>
  </si>
  <si>
    <t>POLYBUSD</t>
  </si>
  <si>
    <t>ELFUSDT</t>
  </si>
  <si>
    <t>DYDXUSDT</t>
  </si>
  <si>
    <t>DYDXBUSD</t>
  </si>
  <si>
    <t>DYDXBNB</t>
  </si>
  <si>
    <t>DYDXBTC</t>
  </si>
  <si>
    <t>ELFBUSD</t>
  </si>
  <si>
    <t>POLYUSDT</t>
  </si>
  <si>
    <t>IDEXUSDT</t>
  </si>
  <si>
    <t>VIDTUSDT</t>
  </si>
  <si>
    <t>SOLBIDR</t>
  </si>
  <si>
    <t>AXSBIDR</t>
  </si>
  <si>
    <t>BTCUSDP</t>
  </si>
  <si>
    <t>ETHUSDP</t>
  </si>
  <si>
    <t>BNBUSDP</t>
  </si>
  <si>
    <t>USDPBUSD</t>
  </si>
  <si>
    <t>USDPUSDT</t>
  </si>
  <si>
    <t>GALAUSDT</t>
  </si>
  <si>
    <t>GALABUSD</t>
  </si>
  <si>
    <t>GALABNB</t>
  </si>
  <si>
    <t>GALABTC</t>
  </si>
  <si>
    <t>FTMBIDR</t>
  </si>
  <si>
    <t>ALGOBIDR</t>
  </si>
  <si>
    <t>CAKEAUD</t>
  </si>
  <si>
    <t>KSMAUD</t>
  </si>
  <si>
    <t>WAVESRUB</t>
  </si>
  <si>
    <t>SUNBUSD</t>
  </si>
  <si>
    <t>ILVUSDT</t>
  </si>
  <si>
    <t>ILVBUSD</t>
  </si>
  <si>
    <t>ILVBNB</t>
  </si>
  <si>
    <t>ILVBTC</t>
  </si>
  <si>
    <t>RENBUSD</t>
  </si>
  <si>
    <t>YGGUSDT</t>
  </si>
  <si>
    <t>YGGBUSD</t>
  </si>
  <si>
    <t>YGGBNB</t>
  </si>
  <si>
    <t>YGGBTC</t>
  </si>
  <si>
    <t>STXBUSD</t>
  </si>
  <si>
    <t>SYSUSDT</t>
  </si>
  <si>
    <t>DFUSDT</t>
  </si>
  <si>
    <t>SOLUSDC</t>
  </si>
  <si>
    <t>ARPARUB</t>
  </si>
  <si>
    <t>LTCUAH</t>
  </si>
  <si>
    <t>FETBUSD</t>
  </si>
  <si>
    <t>ARPABUSD</t>
  </si>
  <si>
    <t>LSKBUSD</t>
  </si>
  <si>
    <t>AVAXBIDR</t>
  </si>
  <si>
    <t>ALICEBIDR</t>
  </si>
  <si>
    <t>FIDAUSDT</t>
  </si>
  <si>
    <t>FIDABUSD</t>
  </si>
  <si>
    <t>FIDABNB</t>
  </si>
  <si>
    <t>FIDABTC</t>
  </si>
  <si>
    <t>DENTBUSD</t>
  </si>
  <si>
    <t>FRONTUSDT</t>
  </si>
  <si>
    <t>CVPUSDT</t>
  </si>
  <si>
    <t>AGLDBTC</t>
  </si>
  <si>
    <t>AGLDBNB</t>
  </si>
  <si>
    <t>AGLDBUSD</t>
  </si>
  <si>
    <t>AGLDUSDT</t>
  </si>
  <si>
    <t>RADBTC</t>
  </si>
  <si>
    <t>RADBNB</t>
  </si>
  <si>
    <t>RADBUSD</t>
  </si>
  <si>
    <t>RADUSDT</t>
  </si>
  <si>
    <t>UNIAUD</t>
  </si>
  <si>
    <t>HIVEBUSD</t>
  </si>
  <si>
    <t>STPTBUSD</t>
  </si>
  <si>
    <t>BETABTC</t>
  </si>
  <si>
    <t>BETABNB</t>
  </si>
  <si>
    <t>BETABUSD</t>
  </si>
  <si>
    <t>BETAUSDT</t>
  </si>
  <si>
    <t>SHIBAUD</t>
  </si>
  <si>
    <t>RAREBTC</t>
  </si>
  <si>
    <t>RAREBNB</t>
  </si>
  <si>
    <t>RAREBUSD</t>
  </si>
  <si>
    <t>RAREUSDT</t>
  </si>
  <si>
    <t>AVAXBRL</t>
  </si>
  <si>
    <t>AVAXAUD</t>
  </si>
  <si>
    <t>LUNAAUD</t>
  </si>
  <si>
    <t>TROYBUSD</t>
  </si>
  <si>
    <t>AXSETH</t>
  </si>
  <si>
    <t>FTMETH</t>
  </si>
  <si>
    <t>SOLETH</t>
  </si>
  <si>
    <t>SSVBTC</t>
  </si>
  <si>
    <t>SSVETH</t>
  </si>
  <si>
    <t>LAZIOTRY</t>
  </si>
  <si>
    <t>LAZIOEUR</t>
  </si>
  <si>
    <t>LAZIOBTC</t>
  </si>
  <si>
    <t>LAZIOUSDT</t>
  </si>
  <si>
    <t>CHESSBTC</t>
  </si>
  <si>
    <t>CHESSBNB</t>
  </si>
  <si>
    <t>CHESSBUSD</t>
  </si>
  <si>
    <t>CHESSUSDT</t>
  </si>
  <si>
    <t>FTMAUD</t>
  </si>
  <si>
    <t>FTMBRL</t>
  </si>
  <si>
    <t>SCRTBUSD</t>
  </si>
  <si>
    <t>ADXUSDT</t>
  </si>
  <si>
    <t>AUCTIONUSDT</t>
  </si>
  <si>
    <t>CELOBUSD</t>
  </si>
  <si>
    <t>FTMRUB</t>
  </si>
  <si>
    <t>NUAUD</t>
  </si>
  <si>
    <t>NURUB</t>
  </si>
  <si>
    <t>REEFTRY</t>
  </si>
  <si>
    <t>REEFBIDR</t>
  </si>
  <si>
    <t>SHIBDOGE</t>
  </si>
  <si>
    <t>DARUSDT</t>
  </si>
  <si>
    <t>DARBUSD</t>
  </si>
  <si>
    <t>DARBNB</t>
  </si>
  <si>
    <t>DARBTC</t>
  </si>
  <si>
    <t>BNXBTC</t>
  </si>
  <si>
    <t>BNXBNB</t>
  </si>
  <si>
    <t>BNXBUSD</t>
  </si>
  <si>
    <t>BNXUSDT</t>
  </si>
  <si>
    <t>RGTUSDT</t>
  </si>
  <si>
    <t>RGTBTC</t>
  </si>
  <si>
    <t>RGTBUSD</t>
  </si>
  <si>
    <t>RGTBNB</t>
  </si>
  <si>
    <t>LAZIOBUSD</t>
  </si>
  <si>
    <t>OXTBUSD</t>
  </si>
  <si>
    <t>MANATRY</t>
  </si>
  <si>
    <t>ALGORUB</t>
  </si>
  <si>
    <t>SHIBUAH</t>
  </si>
  <si>
    <t>LUNABIDR</t>
  </si>
  <si>
    <t>AUDUSDC</t>
  </si>
  <si>
    <t>MOVRBTC</t>
  </si>
  <si>
    <t>MOVRBNB</t>
  </si>
  <si>
    <t>MOVRBUSD</t>
  </si>
  <si>
    <t>MOVRUSDT</t>
  </si>
  <si>
    <t>CITYBTC</t>
  </si>
  <si>
    <t>CITYBNB</t>
  </si>
  <si>
    <t>CITYBUSD</t>
  </si>
  <si>
    <t>CITYUSDT</t>
  </si>
  <si>
    <t>ENSBTC</t>
  </si>
  <si>
    <t>ENSBNB</t>
  </si>
  <si>
    <t>ENSBUSD</t>
  </si>
  <si>
    <t>ENSUSDT</t>
  </si>
  <si>
    <t>SANDETH</t>
  </si>
  <si>
    <t>DOTETH</t>
  </si>
  <si>
    <t>MATICETH</t>
  </si>
  <si>
    <t>ANKRBUSD</t>
  </si>
  <si>
    <t>SANDTRY</t>
  </si>
  <si>
    <t>MANABRL</t>
  </si>
  <si>
    <t>KP3RUSDT</t>
  </si>
  <si>
    <t>QIUSDT</t>
  </si>
  <si>
    <t>QIBUSD</t>
  </si>
  <si>
    <t>QIBNB</t>
  </si>
  <si>
    <t>QIBTC</t>
  </si>
  <si>
    <t>PORTOBTC</t>
  </si>
  <si>
    <t>PORTOUSDT</t>
  </si>
  <si>
    <t>PORTOTRY</t>
  </si>
  <si>
    <t>PORTOEUR</t>
  </si>
  <si>
    <t>POWRUSDT</t>
  </si>
  <si>
    <t>POWRBUSD</t>
  </si>
  <si>
    <t>AVAXETH</t>
  </si>
  <si>
    <t>SLPTRY</t>
  </si>
  <si>
    <t>FISTRY</t>
  </si>
  <si>
    <t>LRCTRY</t>
  </si>
  <si>
    <t>CHRETH</t>
  </si>
  <si>
    <t>FISBIDR</t>
  </si>
  <si>
    <t>VGXUSDT</t>
  </si>
  <si>
    <t>GALAETH</t>
  </si>
  <si>
    <t>JASMYUSDT</t>
  </si>
  <si>
    <t>JASMYBUSD</t>
  </si>
  <si>
    <t>JASMYBNB</t>
  </si>
  <si>
    <t>JASMYBTC</t>
  </si>
  <si>
    <t>AMPBTC</t>
  </si>
  <si>
    <t>AMPBNB</t>
  </si>
  <si>
    <t>AMPBUSD</t>
  </si>
  <si>
    <t>AMPUSDT</t>
  </si>
  <si>
    <t>PLABTC</t>
  </si>
  <si>
    <t>PLABNB</t>
  </si>
  <si>
    <t>PLABUSD</t>
  </si>
  <si>
    <t>PLAUSDT</t>
  </si>
  <si>
    <t>PYRBTC</t>
  </si>
  <si>
    <t>PYRBUSD</t>
  </si>
  <si>
    <t>PYRUSDT</t>
  </si>
  <si>
    <t>RNDRBTC</t>
  </si>
  <si>
    <t>RNDRUSDT</t>
  </si>
  <si>
    <t>RNDRBUSD</t>
  </si>
  <si>
    <t>ALCXBTC</t>
  </si>
  <si>
    <t>ALCXBUSD</t>
  </si>
  <si>
    <t>ALCXUSDT</t>
  </si>
  <si>
    <t>SANTOSBTC</t>
  </si>
  <si>
    <t>SANTOSUSDT</t>
  </si>
  <si>
    <t>SANTOSBRL</t>
  </si>
  <si>
    <t>SANTOSTRY</t>
  </si>
  <si>
    <t>MCBTC</t>
  </si>
  <si>
    <t>MCBUSD</t>
  </si>
  <si>
    <t>MCUSDT</t>
  </si>
  <si>
    <t>BELTRY</t>
  </si>
  <si>
    <t>COCOSBUSD</t>
  </si>
  <si>
    <t>DENTTRY</t>
  </si>
  <si>
    <t>ENJTRY</t>
  </si>
  <si>
    <t>NEORUB</t>
  </si>
  <si>
    <t>SANDAUD</t>
  </si>
  <si>
    <t>SLPBIDR</t>
  </si>
  <si>
    <t>ANYBTC</t>
  </si>
  <si>
    <t>ANYBUSD</t>
  </si>
  <si>
    <t>ANYUSDT</t>
  </si>
  <si>
    <t>BICOBTC</t>
  </si>
  <si>
    <t>BICOBUSD</t>
  </si>
  <si>
    <t>BICOUSDT</t>
  </si>
  <si>
    <t>FLUXBTC</t>
  </si>
  <si>
    <t>FLUXBUSD</t>
  </si>
  <si>
    <t>FLUXUSDT</t>
  </si>
  <si>
    <t>ALICETRY</t>
  </si>
  <si>
    <t>FXSUSDT</t>
  </si>
  <si>
    <t>GALABRL</t>
  </si>
  <si>
    <t>GALATRY</t>
  </si>
  <si>
    <t>LUNATRY</t>
  </si>
  <si>
    <t>REQBUSD</t>
  </si>
  <si>
    <t>SANDBRL</t>
  </si>
  <si>
    <t>MANABIDR</t>
  </si>
  <si>
    <t>SANDBIDR</t>
  </si>
  <si>
    <t>VOXELBTC</t>
  </si>
  <si>
    <t>VOXELBNB</t>
  </si>
  <si>
    <t>VOXELBUSD</t>
  </si>
  <si>
    <t>VOXELUSDT</t>
  </si>
  <si>
    <t>COSBUSD</t>
  </si>
  <si>
    <t>CTXCBUSD</t>
  </si>
  <si>
    <t>FTMTRY</t>
  </si>
  <si>
    <t>MANABNB</t>
  </si>
  <si>
    <t>MINATRY</t>
  </si>
  <si>
    <t>XTZTRY</t>
  </si>
  <si>
    <t>HIGHBTC</t>
  </si>
  <si>
    <t>HIGHBUSD</t>
  </si>
  <si>
    <t>HIGHUSDT</t>
  </si>
  <si>
    <t>CVXBTC</t>
  </si>
  <si>
    <t>CVXBUSD</t>
  </si>
  <si>
    <t>CVXUSDT</t>
  </si>
  <si>
    <t>PEOPLEBTC</t>
  </si>
  <si>
    <t>PEOPLEBUSD</t>
  </si>
  <si>
    <t>PEOPLEUSDT</t>
  </si>
  <si>
    <t>OOKIBUSD</t>
  </si>
  <si>
    <t>OOKIUSDT</t>
  </si>
  <si>
    <t>COCOSTRY</t>
  </si>
  <si>
    <t>GXSBNB</t>
  </si>
  <si>
    <t>LINKBNB</t>
  </si>
  <si>
    <t>LUNAETH</t>
  </si>
  <si>
    <t>MDTBUSD</t>
  </si>
  <si>
    <t>NULSBUSD</t>
  </si>
  <si>
    <t>SPELLBTC</t>
  </si>
  <si>
    <t>SPELLUSDT</t>
  </si>
  <si>
    <t>SPELLBUSD</t>
  </si>
  <si>
    <t>USTBTC</t>
  </si>
  <si>
    <t>USTBUSD</t>
  </si>
  <si>
    <t>USTUSDT</t>
  </si>
  <si>
    <t>JOEBTC</t>
  </si>
  <si>
    <t>JOEBUSD</t>
  </si>
  <si>
    <t>JOEUSDT</t>
  </si>
  <si>
    <t>ATOMETH</t>
  </si>
  <si>
    <t>DUSKBUSD</t>
  </si>
  <si>
    <t>EGLDETH</t>
  </si>
  <si>
    <t>ICPETH</t>
  </si>
  <si>
    <t>LUNABRL</t>
  </si>
  <si>
    <t>LUNAUST</t>
  </si>
  <si>
    <t>NEARETH</t>
  </si>
  <si>
    <t>ROSEBNB</t>
  </si>
  <si>
    <t>VOXELETH</t>
  </si>
  <si>
    <t>ALICEBNB</t>
  </si>
  <si>
    <t>ATOMTRY</t>
  </si>
  <si>
    <t>ETHUST</t>
  </si>
  <si>
    <t>GALAAUD</t>
  </si>
  <si>
    <t>LRCBNB</t>
  </si>
  <si>
    <t>ONEETH</t>
  </si>
  <si>
    <t>OOKIBNB</t>
  </si>
  <si>
    <t>ACHBTC</t>
  </si>
  <si>
    <t>ACHBUSD</t>
  </si>
  <si>
    <t>ACHUSDT</t>
  </si>
  <si>
    <t>IMXBTC</t>
  </si>
  <si>
    <t>IMXBUSD</t>
  </si>
  <si>
    <t>IMXUSDT</t>
  </si>
  <si>
    <t>GLMRBTC</t>
  </si>
  <si>
    <t>GLMRBUSD</t>
  </si>
  <si>
    <t>GLMRUSDT</t>
  </si>
  <si>
    <t>ATOMBIDR</t>
  </si>
  <si>
    <t>DYDXETH</t>
  </si>
  <si>
    <t>FARMETH</t>
  </si>
  <si>
    <t>FORBNB</t>
  </si>
  <si>
    <t>ICPTRY</t>
  </si>
  <si>
    <t>JASMYETH</t>
  </si>
  <si>
    <t>LINABNB</t>
  </si>
  <si>
    <t>OOKIETH</t>
  </si>
  <si>
    <t>ROSEETH</t>
  </si>
  <si>
    <t>UMABUSD</t>
  </si>
  <si>
    <t>UNIETH</t>
  </si>
  <si>
    <t>XTZETH</t>
  </si>
  <si>
    <t>LOKABTC</t>
  </si>
  <si>
    <t>LOKABNB</t>
  </si>
  <si>
    <t>LOKABUSD</t>
  </si>
  <si>
    <t>LOKAUSDT</t>
  </si>
  <si>
    <t>ATOMBRL</t>
  </si>
  <si>
    <t>BNBUST</t>
  </si>
  <si>
    <t>CRVETH</t>
  </si>
  <si>
    <t>HIGHBNB</t>
  </si>
  <si>
    <t>NEARRUB</t>
  </si>
  <si>
    <t>ROSETRY</t>
  </si>
  <si>
    <t>SCRTUSDT</t>
  </si>
  <si>
    <t>API3BTC</t>
  </si>
  <si>
    <t>API3BUSD</t>
  </si>
  <si>
    <t>API3USDT</t>
  </si>
  <si>
    <t>BTTCUSDT</t>
  </si>
  <si>
    <t>BTTCUSDC</t>
  </si>
  <si>
    <t>BTTCTRY</t>
  </si>
  <si>
    <t>ACABTC</t>
  </si>
  <si>
    <t>ACABUSD</t>
  </si>
  <si>
    <t>ACAUSDT</t>
  </si>
  <si>
    <t>ANCBTC</t>
  </si>
  <si>
    <t>ANCBUSD</t>
  </si>
  <si>
    <t>ANCUSDT</t>
  </si>
  <si>
    <t>BDOTDOT</t>
  </si>
  <si>
    <t>XNOBTC</t>
  </si>
  <si>
    <t>XNOETH</t>
  </si>
  <si>
    <t>XNOBUSD</t>
  </si>
  <si>
    <t>XNOUSDT</t>
  </si>
  <si>
    <t>COSTRY</t>
  </si>
  <si>
    <t>KAVAETH</t>
  </si>
  <si>
    <t>MCBNB</t>
  </si>
  <si>
    <t>ONETRY</t>
  </si>
  <si>
    <t>WOOBTC</t>
  </si>
  <si>
    <t>WOOBNB</t>
  </si>
  <si>
    <t>WOOBUSD</t>
  </si>
  <si>
    <t>WOOUSDT</t>
  </si>
  <si>
    <t>CELRETH</t>
  </si>
  <si>
    <t>PEOPLEBNB</t>
  </si>
  <si>
    <t>SLPBNB</t>
  </si>
  <si>
    <t>SPELLBNB</t>
  </si>
  <si>
    <t>SPELLTRY</t>
  </si>
  <si>
    <t>TFUELBUSD</t>
  </si>
  <si>
    <t>AXSTRY</t>
  </si>
  <si>
    <t>DARTRY</t>
  </si>
  <si>
    <t>NEARTRY</t>
  </si>
  <si>
    <t>IDEXBNB</t>
  </si>
  <si>
    <t>ALPINEEUR</t>
  </si>
  <si>
    <t>ALPINETRY</t>
  </si>
  <si>
    <t>ALPINEUSDT</t>
  </si>
  <si>
    <t>ALPINEBTC</t>
  </si>
  <si>
    <t>TUSDT</t>
  </si>
  <si>
    <t>TBUSD</t>
  </si>
  <si>
    <t>API3BNB</t>
  </si>
  <si>
    <t>BETAETH</t>
  </si>
  <si>
    <t>INJTRY</t>
  </si>
  <si>
    <t>TLMBNB</t>
  </si>
  <si>
    <t>ASTRBUSD</t>
  </si>
  <si>
    <t>ASTRUSDT</t>
  </si>
  <si>
    <t>API3TRY</t>
  </si>
  <si>
    <t>GLMRBNB</t>
  </si>
  <si>
    <t>MBOXTRY</t>
  </si>
  <si>
    <t>NBTBIDR</t>
  </si>
  <si>
    <t>NBTUSDT</t>
  </si>
  <si>
    <t>GMTBTC</t>
  </si>
  <si>
    <t>GMTBNB</t>
  </si>
  <si>
    <t>GMTBUSD</t>
  </si>
  <si>
    <t>GMTUSDT</t>
  </si>
  <si>
    <t>ANCBNB</t>
  </si>
  <si>
    <t>ATOMEUR</t>
  </si>
  <si>
    <t>GALAEUR</t>
  </si>
  <si>
    <t>KSMETH</t>
  </si>
  <si>
    <t>UMATRY</t>
  </si>
  <si>
    <t>KDABTC</t>
  </si>
  <si>
    <t>KDABUSD</t>
  </si>
  <si>
    <t>KDAUSDT</t>
  </si>
  <si>
    <t>APEUSDT</t>
  </si>
  <si>
    <t>APEBUSD</t>
  </si>
  <si>
    <t>APEBTC</t>
  </si>
  <si>
    <t>ALPINEBUSD</t>
  </si>
  <si>
    <t>LUNAGBP</t>
  </si>
  <si>
    <t>NEAREUR</t>
  </si>
  <si>
    <t>TWTTRY</t>
  </si>
  <si>
    <t>WAVESEUR</t>
  </si>
  <si>
    <t>APEEUR</t>
  </si>
  <si>
    <t>APEGBP</t>
  </si>
  <si>
    <t>APETRY</t>
  </si>
  <si>
    <t>BSWUSDT</t>
  </si>
  <si>
    <t>BSWBUSD</t>
  </si>
  <si>
    <t>BSWBNB</t>
  </si>
  <si>
    <t>APEBNB</t>
  </si>
  <si>
    <t>GMTBRL</t>
  </si>
  <si>
    <t>GMTETH</t>
  </si>
  <si>
    <t>JASMYTRY</t>
  </si>
  <si>
    <t>SANTOSBUSD</t>
  </si>
  <si>
    <t>APEAUD</t>
  </si>
  <si>
    <t>BIFIUSDT</t>
  </si>
  <si>
    <t>GMTEUR</t>
  </si>
  <si>
    <t>IMXBNB</t>
  </si>
  <si>
    <t>RUNEETH</t>
  </si>
  <si>
    <t>AVAXGBP</t>
  </si>
  <si>
    <t>MULTIBTC</t>
  </si>
  <si>
    <t>MULTIBUSD</t>
  </si>
  <si>
    <t>MULTIUSDT</t>
  </si>
  <si>
    <t>APEETH</t>
  </si>
  <si>
    <t>BSWETH</t>
  </si>
  <si>
    <t>FILTRY</t>
  </si>
  <si>
    <t>FTMEUR</t>
  </si>
  <si>
    <t>GMTGBP</t>
  </si>
  <si>
    <t>ZILTRY</t>
  </si>
  <si>
    <t>GMTTRY</t>
  </si>
  <si>
    <t>WAVESTRY</t>
  </si>
  <si>
    <t>BTCUST</t>
  </si>
  <si>
    <t>ASTRBTC</t>
  </si>
  <si>
    <t>ASTRETH</t>
  </si>
  <si>
    <t>BSWTRY</t>
  </si>
  <si>
    <t>FTTETH</t>
  </si>
  <si>
    <t>FUNBNB</t>
  </si>
  <si>
    <t>PORTOBUSD</t>
  </si>
  <si>
    <t>STEEMUSDT</t>
  </si>
  <si>
    <t>ZILEUR</t>
  </si>
  <si>
    <t>APEBRL</t>
  </si>
  <si>
    <t>AUDIOTRY</t>
  </si>
  <si>
    <t>BTTCBUSD</t>
  </si>
  <si>
    <t>GMTAUD</t>
  </si>
  <si>
    <t>MBLBUSD</t>
  </si>
  <si>
    <t>MOBUSDT</t>
  </si>
  <si>
    <t>MOBBUSD</t>
  </si>
  <si>
    <t>MOBBTC</t>
  </si>
  <si>
    <t>NEXOUSDT</t>
  </si>
  <si>
    <t>NEXOBUSD</t>
  </si>
  <si>
    <t>NEXOBTC</t>
  </si>
  <si>
    <t>REIUSDT</t>
  </si>
  <si>
    <t>REIBNB</t>
  </si>
  <si>
    <t>REIETH</t>
  </si>
  <si>
    <t>GALUSDT</t>
  </si>
  <si>
    <t>GALBUSD</t>
  </si>
  <si>
    <t>GALBNB</t>
  </si>
  <si>
    <t>GALBTC</t>
  </si>
  <si>
    <t>JASMYEUR</t>
  </si>
  <si>
    <t>KNCBNB</t>
  </si>
  <si>
    <t>SHIBGBP</t>
  </si>
  <si>
    <t>GALEUR</t>
  </si>
  <si>
    <t>GALTRY</t>
  </si>
  <si>
    <t>LDOBUSD</t>
  </si>
  <si>
    <t>LDOUSDT</t>
  </si>
  <si>
    <t>LDOBTC</t>
  </si>
  <si>
    <t>ENSTRY</t>
  </si>
  <si>
    <t>DAREUR</t>
  </si>
  <si>
    <t>DARETH</t>
  </si>
  <si>
    <t>ALGOETH</t>
  </si>
  <si>
    <t>ALGOTRY</t>
  </si>
  <si>
    <t>GALETH</t>
  </si>
  <si>
    <t>EPXUSDT</t>
  </si>
  <si>
    <t>EPXBUSD</t>
  </si>
  <si>
    <t>RUNETRY</t>
  </si>
  <si>
    <t>GALBRL</t>
  </si>
  <si>
    <t>STEEMBUSD</t>
  </si>
  <si>
    <t>CVCBUSD</t>
  </si>
  <si>
    <t>REIBUSD</t>
  </si>
  <si>
    <t>DREPBUSD</t>
  </si>
  <si>
    <t>AKROBUSD</t>
  </si>
  <si>
    <t>PUNDIXBUSD</t>
  </si>
  <si>
    <t>LUNCBUSD</t>
  </si>
  <si>
    <t>USTCBUSD</t>
  </si>
  <si>
    <t>OPBTC</t>
  </si>
  <si>
    <t>OPBUSD</t>
  </si>
  <si>
    <t>OPUSDT</t>
  </si>
  <si>
    <t>OGBUSD</t>
  </si>
  <si>
    <t>KEYBUSD</t>
  </si>
  <si>
    <t>ASRBUSD</t>
  </si>
  <si>
    <t>FIROBUSD</t>
  </si>
  <si>
    <t>NKNBUSD</t>
  </si>
  <si>
    <t>OPBNB</t>
  </si>
  <si>
    <t>OPEUR</t>
  </si>
  <si>
    <t>GTOBUSD</t>
  </si>
  <si>
    <t>SNXETH</t>
  </si>
  <si>
    <t>WBTCBUSD</t>
  </si>
  <si>
    <t>BELETH</t>
  </si>
  <si>
    <t>LITETH</t>
  </si>
  <si>
    <t>LEVERUSDT</t>
  </si>
  <si>
    <t>LEVERBUSD</t>
  </si>
  <si>
    <t>BURGERETH</t>
  </si>
  <si>
    <t>PEOPLEETH</t>
  </si>
  <si>
    <t>UNFIETH</t>
  </si>
  <si>
    <t>BONDETH</t>
  </si>
  <si>
    <t>STORJTRY</t>
  </si>
  <si>
    <t>OPETH</t>
  </si>
  <si>
    <t>ETCTRY</t>
  </si>
  <si>
    <t>WINGETH</t>
  </si>
  <si>
    <t>FILETH</t>
  </si>
  <si>
    <t>GLMBUSD</t>
  </si>
  <si>
    <t>SSVBUSD</t>
  </si>
  <si>
    <t>STGBTC</t>
  </si>
  <si>
    <t>STGBUSD</t>
  </si>
  <si>
    <t>STGUSDT</t>
  </si>
  <si>
    <t>ANKRTRY</t>
  </si>
  <si>
    <t>ARKBUSD</t>
  </si>
  <si>
    <t>BETHBUSD</t>
  </si>
  <si>
    <t>LOOMBUSD</t>
  </si>
  <si>
    <t>SNMBUSD</t>
  </si>
  <si>
    <t>AMBBUSD</t>
  </si>
  <si>
    <t>LUNCUSDT</t>
  </si>
  <si>
    <t>PHBBUSD</t>
  </si>
  <si>
    <t>GASBUSD</t>
  </si>
  <si>
    <t>NEBLBUSD</t>
  </si>
  <si>
    <t>PROSBUSD</t>
  </si>
  <si>
    <t>VIBBUSD</t>
  </si>
  <si>
    <t>GMXBTC</t>
  </si>
  <si>
    <t>GMXBUSD</t>
  </si>
  <si>
    <t>GMXUSDT</t>
  </si>
  <si>
    <t>AGIXBUSD</t>
  </si>
  <si>
    <t>NEBLUSDT</t>
  </si>
  <si>
    <t>SNTBUSD</t>
  </si>
  <si>
    <t>POLYXBTC</t>
  </si>
  <si>
    <t>POLYXBUSD</t>
  </si>
  <si>
    <t>POLYXUSDT</t>
  </si>
  <si>
    <t>APTBTC</t>
  </si>
  <si>
    <t>APTUSDT</t>
  </si>
  <si>
    <t>APTBUSD</t>
  </si>
  <si>
    <t>BTCPLN</t>
  </si>
  <si>
    <t>ETHPLN</t>
  </si>
  <si>
    <t>BUSDPLN</t>
  </si>
  <si>
    <t>APTEUR</t>
  </si>
  <si>
    <t>APTTRY</t>
  </si>
  <si>
    <t>APTBRL</t>
  </si>
  <si>
    <t>QKCBUSD</t>
  </si>
  <si>
    <t>OSMOBTC</t>
  </si>
  <si>
    <t>OSMOUSDT</t>
  </si>
  <si>
    <t>OSMOBUSD</t>
  </si>
  <si>
    <t>HFTBTC</t>
  </si>
  <si>
    <t>HFTBUSD</t>
  </si>
  <si>
    <t>HFTUSDT</t>
  </si>
  <si>
    <t>ARPAETH</t>
  </si>
  <si>
    <t>PHBUSDT</t>
  </si>
  <si>
    <t>VITEBUSD</t>
  </si>
  <si>
    <t>HOOKBTC</t>
  </si>
  <si>
    <t>HOOKUSDT</t>
  </si>
  <si>
    <t>HOOKBUSD</t>
  </si>
  <si>
    <t>HOOKBNB</t>
  </si>
  <si>
    <t>MAGICBTC</t>
  </si>
  <si>
    <t>MAGICBUSD</t>
  </si>
  <si>
    <t>MAGICUSDT</t>
  </si>
  <si>
    <t>BUSDRON</t>
  </si>
  <si>
    <t>HIFIETH</t>
  </si>
  <si>
    <t>HIFIUSDT</t>
  </si>
  <si>
    <t>RPLBTC</t>
  </si>
  <si>
    <t>RPLBUSD</t>
  </si>
  <si>
    <t>RPLUSDT</t>
  </si>
  <si>
    <t>PROSUSDT</t>
  </si>
  <si>
    <t>FETTRY</t>
  </si>
  <si>
    <t>GFTBUSD</t>
  </si>
  <si>
    <t>AGIXUSDT</t>
  </si>
  <si>
    <t>APTETH</t>
  </si>
  <si>
    <t>BTCRON</t>
  </si>
  <si>
    <t>GNSUSDT</t>
  </si>
  <si>
    <t>GNSBTC</t>
  </si>
  <si>
    <t>SYNBTC</t>
  </si>
  <si>
    <t>SYNUSDT</t>
  </si>
  <si>
    <t>VIBUSDT</t>
  </si>
  <si>
    <t>SSVUSDT</t>
  </si>
  <si>
    <t>LQTYUSDT</t>
  </si>
  <si>
    <t>LQTYBTC</t>
  </si>
  <si>
    <t>AMBUSDT</t>
  </si>
  <si>
    <t>BETHUSDT</t>
  </si>
  <si>
    <t>CFXTRY</t>
  </si>
  <si>
    <t>STXTRY</t>
  </si>
  <si>
    <t>USTCUSDT</t>
  </si>
  <si>
    <t>GASUSDT</t>
  </si>
  <si>
    <t>GLMUSDT</t>
  </si>
  <si>
    <t>PROMUSDT</t>
  </si>
  <si>
    <t>QKCUSDT</t>
  </si>
  <si>
    <t>UFTUSDT</t>
  </si>
  <si>
    <t>IDBTC</t>
  </si>
  <si>
    <t>IDBNB</t>
  </si>
  <si>
    <t>IDUSDT</t>
  </si>
  <si>
    <t>ARBBTC</t>
  </si>
  <si>
    <t>ARBUSDT</t>
  </si>
  <si>
    <t>AGIXTRY</t>
  </si>
  <si>
    <t>LOOMUSDT</t>
  </si>
  <si>
    <t>OAXUSDT</t>
  </si>
  <si>
    <t>ARBTUSD</t>
  </si>
  <si>
    <t>ARBTRY</t>
  </si>
  <si>
    <t>ARBEUR</t>
  </si>
  <si>
    <t>IDTUSD</t>
  </si>
  <si>
    <t>IDTRY</t>
  </si>
  <si>
    <t>IDEUR</t>
  </si>
  <si>
    <t>LDOTUSD</t>
  </si>
  <si>
    <t>MATICTUSD</t>
  </si>
  <si>
    <t>OPTUSD</t>
  </si>
  <si>
    <t>SOLTUSD</t>
  </si>
  <si>
    <t>SSVTUSD</t>
  </si>
  <si>
    <t>RDNTBTC</t>
  </si>
  <si>
    <t>RDNTUSDT</t>
  </si>
  <si>
    <t>RDNTTUSD</t>
  </si>
  <si>
    <t>ARBRUB</t>
  </si>
  <si>
    <t>JOETRY</t>
  </si>
  <si>
    <t>MAGICTRY</t>
  </si>
  <si>
    <t>USDTPLN</t>
  </si>
  <si>
    <t>ACHTRY</t>
  </si>
  <si>
    <t>XVSTRY</t>
  </si>
  <si>
    <t>EGLDRON</t>
  </si>
  <si>
    <t>USDTRON</t>
  </si>
  <si>
    <t>USDTARS</t>
  </si>
  <si>
    <t>DOGETUSD</t>
  </si>
  <si>
    <t>WBTCUSDT</t>
  </si>
  <si>
    <t>EDUUSDT</t>
  </si>
  <si>
    <t>EDUTUSD</t>
  </si>
  <si>
    <t>EDUBNB</t>
  </si>
  <si>
    <t>EDUBTC</t>
  </si>
  <si>
    <t>EDUEUR</t>
  </si>
  <si>
    <t>EDUTRY</t>
  </si>
  <si>
    <t>SUIUSDT</t>
  </si>
  <si>
    <t>SUITUSD</t>
  </si>
  <si>
    <t>SUIBTC</t>
  </si>
  <si>
    <t>SUIBNB</t>
  </si>
  <si>
    <t>SUIEUR</t>
  </si>
  <si>
    <t>SUITRY</t>
  </si>
  <si>
    <t>AERGOUSDT</t>
  </si>
  <si>
    <t>RNDRTRY</t>
  </si>
  <si>
    <t>PEPEUSDT</t>
  </si>
  <si>
    <t>PEPETUSD</t>
  </si>
  <si>
    <t>FLOKIUSDT</t>
  </si>
  <si>
    <t>FLOKITUSD</t>
  </si>
  <si>
    <t>OGTRY</t>
  </si>
  <si>
    <t>PEPETRY</t>
  </si>
  <si>
    <t>WBETHETH</t>
  </si>
  <si>
    <t>ASTUSDT</t>
  </si>
  <si>
    <t>SNTUSDT</t>
  </si>
  <si>
    <t>FLOKITRY</t>
  </si>
  <si>
    <t>CITYTRY</t>
  </si>
  <si>
    <t>Resultado</t>
  </si>
  <si>
    <t>Valor</t>
  </si>
  <si>
    <t>Atual</t>
  </si>
  <si>
    <t>ETH</t>
  </si>
  <si>
    <t>SOL</t>
  </si>
  <si>
    <t>Renda Fixa</t>
  </si>
  <si>
    <t>% Desejado</t>
  </si>
  <si>
    <t>Movimentações</t>
  </si>
  <si>
    <t>Rebalanceamento</t>
  </si>
  <si>
    <t>Portfolio</t>
  </si>
  <si>
    <t>Valor Unit</t>
  </si>
  <si>
    <t>% do Patrimonio</t>
  </si>
  <si>
    <t>Qtd Atual</t>
  </si>
  <si>
    <t>Valor Ações</t>
  </si>
  <si>
    <t>Valor FII</t>
  </si>
  <si>
    <t>COMBOUSDT</t>
  </si>
  <si>
    <t>COMBOBNB</t>
  </si>
  <si>
    <t>COMBOTRY</t>
  </si>
  <si>
    <t>LTCTRY</t>
  </si>
  <si>
    <t>RADTRY</t>
  </si>
  <si>
    <t>Mes</t>
  </si>
  <si>
    <t>BTCARS</t>
  </si>
  <si>
    <t>OPTRY</t>
  </si>
  <si>
    <t>PAXGTRY</t>
  </si>
  <si>
    <t>MAVBTC</t>
  </si>
  <si>
    <t>MAVUSDT</t>
  </si>
  <si>
    <t>MAVTUSD</t>
  </si>
  <si>
    <t>CFXTUSD</t>
  </si>
  <si>
    <t>Rantabilidade</t>
  </si>
  <si>
    <t>CDI</t>
  </si>
  <si>
    <t>Ano/Mês</t>
  </si>
  <si>
    <t>Jan</t>
  </si>
  <si>
    <t>Fev</t>
  </si>
  <si>
    <t>Mar</t>
  </si>
  <si>
    <t>Abr</t>
  </si>
  <si>
    <t>Mai</t>
  </si>
  <si>
    <t>Jun</t>
  </si>
  <si>
    <t>Jul</t>
  </si>
  <si>
    <t>Ago</t>
  </si>
  <si>
    <t>Set</t>
  </si>
  <si>
    <t>Out</t>
  </si>
  <si>
    <t>Nov</t>
  </si>
  <si>
    <t>Dez</t>
  </si>
  <si>
    <t>Acumulado</t>
  </si>
  <si>
    <t>1,03</t>
  </si>
  <si>
    <t>1,17</t>
  </si>
  <si>
    <t>1,07</t>
  </si>
  <si>
    <t>1,02</t>
  </si>
  <si>
    <t>0,36</t>
  </si>
  <si>
    <t>0,43</t>
  </si>
  <si>
    <t>0,44</t>
  </si>
  <si>
    <t>0,49</t>
  </si>
  <si>
    <t>0,59</t>
  </si>
  <si>
    <t>0,77</t>
  </si>
  <si>
    <t>0,19</t>
  </si>
  <si>
    <t>0,16</t>
  </si>
  <si>
    <t>0,15</t>
  </si>
  <si>
    <t>0,57</t>
  </si>
  <si>
    <t>0,50</t>
  </si>
  <si>
    <t>0,46</t>
  </si>
  <si>
    <t>0,48</t>
  </si>
  <si>
    <t>0,38</t>
  </si>
  <si>
    <t>0,37</t>
  </si>
  <si>
    <t>0,54</t>
  </si>
  <si>
    <t>0,47</t>
  </si>
  <si>
    <t>0,80</t>
  </si>
  <si>
    <t>0,64</t>
  </si>
  <si>
    <t>1,11</t>
  </si>
  <si>
    <t>1,22</t>
  </si>
  <si>
    <t>1,05</t>
  </si>
  <si>
    <t>1,04</t>
  </si>
  <si>
    <t>1,12</t>
  </si>
  <si>
    <t>1,18</t>
  </si>
  <si>
    <t>1,06</t>
  </si>
  <si>
    <t>1,16</t>
  </si>
  <si>
    <t>0,95</t>
  </si>
  <si>
    <t>0,87</t>
  </si>
  <si>
    <t>0,91</t>
  </si>
  <si>
    <t>0,84</t>
  </si>
  <si>
    <t>0,96</t>
  </si>
  <si>
    <t>0,72</t>
  </si>
  <si>
    <t>0,71</t>
  </si>
  <si>
    <t>0,81</t>
  </si>
  <si>
    <t>0,79</t>
  </si>
  <si>
    <t>0,66</t>
  </si>
  <si>
    <t>0,55</t>
  </si>
  <si>
    <t>0,97</t>
  </si>
  <si>
    <t>0,89</t>
  </si>
  <si>
    <t>0,86</t>
  </si>
  <si>
    <t>0,85</t>
  </si>
  <si>
    <t>0,69</t>
  </si>
  <si>
    <t>0,93</t>
  </si>
  <si>
    <t>0,94</t>
  </si>
  <si>
    <t>0,88</t>
  </si>
  <si>
    <t>1,20</t>
  </si>
  <si>
    <t>1,51</t>
  </si>
  <si>
    <t>1,31</t>
  </si>
  <si>
    <t>1,47</t>
  </si>
  <si>
    <t>1,21</t>
  </si>
  <si>
    <t>1,41</t>
  </si>
  <si>
    <t>1,60</t>
  </si>
  <si>
    <t>1,34</t>
  </si>
  <si>
    <t>1,57</t>
  </si>
  <si>
    <t>1,53</t>
  </si>
  <si>
    <t>1,64</t>
  </si>
  <si>
    <t>1,32</t>
  </si>
  <si>
    <t>1,48</t>
  </si>
  <si>
    <t>1,37</t>
  </si>
  <si>
    <t>Adicionando novos meses após a última linha, a tabela e gráfico são ajustados automáticamentes.</t>
  </si>
  <si>
    <t>Valor Total Recebido (Líquido)</t>
  </si>
  <si>
    <t>Data Pagamento</t>
  </si>
  <si>
    <t>Data Referência:</t>
  </si>
  <si>
    <t>Mês</t>
  </si>
  <si>
    <t>AÇÃO</t>
  </si>
  <si>
    <t>TOTAL</t>
  </si>
  <si>
    <t>PROVENTOS - Planilha Auxiliar para Controle Pessoal</t>
  </si>
  <si>
    <t>EXTERIOR</t>
  </si>
  <si>
    <t>PENDLEBTC</t>
  </si>
  <si>
    <t>PENDLEUSDT</t>
  </si>
  <si>
    <t>PENDLETUSD</t>
  </si>
  <si>
    <t>MAVTRY</t>
  </si>
  <si>
    <t>OCEANTRY</t>
  </si>
  <si>
    <t>TUSDTRY</t>
  </si>
  <si>
    <t>ARBETH</t>
  </si>
  <si>
    <t>BCHTRY</t>
  </si>
  <si>
    <t>XVGTRY</t>
  </si>
  <si>
    <t>XVGTUSD</t>
  </si>
  <si>
    <t>ARKMUSDT</t>
  </si>
  <si>
    <t>ARKMTUSD</t>
  </si>
  <si>
    <t>ARKMTRY</t>
  </si>
  <si>
    <t>ARKMBNB</t>
  </si>
  <si>
    <t>ARKMBTC</t>
  </si>
  <si>
    <t>WBETHUSDT</t>
  </si>
  <si>
    <t>ACATRY</t>
  </si>
  <si>
    <t>AVAXTUSD</t>
  </si>
  <si>
    <t>COMPTUSD</t>
  </si>
  <si>
    <t>COMPTRY</t>
  </si>
  <si>
    <t>XECTRY</t>
  </si>
  <si>
    <t>QUICKTUSD</t>
  </si>
  <si>
    <t>WLDUSDT</t>
  </si>
  <si>
    <t>WLDBTC</t>
  </si>
  <si>
    <t>BNBFDUSD</t>
  </si>
  <si>
    <t>FDUSDBUSD</t>
  </si>
  <si>
    <t>FDUSDUSDT</t>
  </si>
  <si>
    <t>ARKMRUB</t>
  </si>
  <si>
    <t>WLDTRY</t>
  </si>
  <si>
    <t>WLDRUB</t>
  </si>
  <si>
    <t>AMPTRY</t>
  </si>
  <si>
    <t>OGNTRY</t>
  </si>
  <si>
    <t>BTCFDUSD</t>
  </si>
  <si>
    <t>ETHFDUSD</t>
  </si>
  <si>
    <t>ASRTRY</t>
  </si>
  <si>
    <t>ATMTRY</t>
  </si>
  <si>
    <t>ACMTRY</t>
  </si>
  <si>
    <t>BARTRY</t>
  </si>
  <si>
    <t>JUVTRY</t>
  </si>
  <si>
    <t>PSGTRY</t>
  </si>
  <si>
    <t>SEIBNB</t>
  </si>
  <si>
    <t>SEIBTC</t>
  </si>
  <si>
    <t>SEIFDUSD</t>
  </si>
  <si>
    <t>SEITRY</t>
  </si>
  <si>
    <t>SEIUSDT</t>
  </si>
  <si>
    <t>CYBERBNB</t>
  </si>
  <si>
    <t>CYBERBTC</t>
  </si>
  <si>
    <t>CYBERFDUSD</t>
  </si>
  <si>
    <t>CYBERTRY</t>
  </si>
  <si>
    <t>CYBERUSDT</t>
  </si>
  <si>
    <t>CYBERTUSD</t>
  </si>
  <si>
    <t>SEITUSD</t>
  </si>
  <si>
    <t>LPTTRY</t>
  </si>
  <si>
    <t>UNITRY</t>
  </si>
  <si>
    <t>1,14</t>
  </si>
  <si>
    <t>SOLFDUSD</t>
  </si>
  <si>
    <t>TOMOTRY</t>
  </si>
  <si>
    <t>UNFITRY</t>
  </si>
  <si>
    <t>XRPFDUSD</t>
  </si>
  <si>
    <t>DOGEFDUSD</t>
  </si>
  <si>
    <t>CYBERETH</t>
  </si>
  <si>
    <t>MTLTRY</t>
  </si>
  <si>
    <t>0,68</t>
  </si>
  <si>
    <t>0,61</t>
  </si>
  <si>
    <t>0,73</t>
  </si>
  <si>
    <t>1,10</t>
  </si>
  <si>
    <t>0,99</t>
  </si>
  <si>
    <t>1,26</t>
  </si>
  <si>
    <t>1,09</t>
  </si>
  <si>
    <t>1,66</t>
  </si>
  <si>
    <t>1,50</t>
  </si>
  <si>
    <t>1,38</t>
  </si>
  <si>
    <t>1,29</t>
  </si>
  <si>
    <t>1,25</t>
  </si>
  <si>
    <t>2,08</t>
  </si>
  <si>
    <t>1,77</t>
  </si>
  <si>
    <t>1,68</t>
  </si>
  <si>
    <t>1,54</t>
  </si>
  <si>
    <t>1,44</t>
  </si>
  <si>
    <t>1,65</t>
  </si>
  <si>
    <t>1,74</t>
  </si>
  <si>
    <t>1,39</t>
  </si>
  <si>
    <t>1,49</t>
  </si>
  <si>
    <t>ARKUSDT</t>
  </si>
  <si>
    <t>CREAMUSDT</t>
  </si>
  <si>
    <t>GFTUSDT</t>
  </si>
  <si>
    <t>IQUSDT</t>
  </si>
  <si>
    <t>USDTVAI</t>
  </si>
  <si>
    <t>ARBFDUSD</t>
  </si>
  <si>
    <t>FDUSDTRY</t>
  </si>
  <si>
    <t>FRONTTRY</t>
  </si>
  <si>
    <t>SUIFDUSD</t>
  </si>
  <si>
    <t>NTRNBTC</t>
  </si>
  <si>
    <t>NTRNUSDT</t>
  </si>
  <si>
    <t>NTRNBNB</t>
  </si>
  <si>
    <t>FILFDUSD</t>
  </si>
  <si>
    <t>FRONTTUSD</t>
  </si>
  <si>
    <t>LEVERTRY</t>
  </si>
  <si>
    <t>LTCFDUSD</t>
  </si>
  <si>
    <t>ADAFDUSD</t>
  </si>
  <si>
    <t>RUNETUSD</t>
  </si>
  <si>
    <t>TRBTRY</t>
  </si>
  <si>
    <t>ATOMFDUSD</t>
  </si>
  <si>
    <t>AVAXFDUSD</t>
  </si>
  <si>
    <t>BANDTRY</t>
  </si>
  <si>
    <t>BCHFDUSD</t>
  </si>
  <si>
    <t>LOOMTRY</t>
  </si>
  <si>
    <t>MATICFDUSD</t>
  </si>
  <si>
    <t>ALGOFDUSD</t>
  </si>
  <si>
    <t>DOTFDUSD</t>
  </si>
  <si>
    <t>FTMFDUSD</t>
  </si>
  <si>
    <t>LINKFDUSD</t>
  </si>
  <si>
    <t>NEARFDUSD</t>
  </si>
  <si>
    <t>STRAXTRY</t>
  </si>
  <si>
    <t>TIABTC</t>
  </si>
  <si>
    <t>TIAUSDT</t>
  </si>
  <si>
    <t>TIATRY</t>
  </si>
  <si>
    <t>1,00</t>
  </si>
  <si>
    <t>MEMEBNB</t>
  </si>
  <si>
    <t>MEMEUSDT</t>
  </si>
  <si>
    <t>MEMEFDUSD</t>
  </si>
  <si>
    <t>MEMETUSD</t>
  </si>
  <si>
    <t>MEMETRY</t>
  </si>
  <si>
    <t>ORDIBTC</t>
  </si>
  <si>
    <t>ORDIUSDT</t>
  </si>
  <si>
    <t>ORDITRY</t>
  </si>
  <si>
    <t>EGLDFDUSD</t>
  </si>
  <si>
    <t>FETFDUSD</t>
  </si>
  <si>
    <t>GASFDUSD</t>
  </si>
  <si>
    <t>INJETH</t>
  </si>
  <si>
    <t>INJTUSD</t>
  </si>
  <si>
    <t>OPFDUSD</t>
  </si>
  <si>
    <t>ORDIFDUSD</t>
  </si>
  <si>
    <t>ORDITUSD</t>
  </si>
  <si>
    <t>RNDRFDUSD</t>
  </si>
  <si>
    <t>SHIBTUSD</t>
  </si>
  <si>
    <t>BEAMXUSDT</t>
  </si>
  <si>
    <t>ARKTRY</t>
  </si>
  <si>
    <t>BEAMXTRY</t>
  </si>
  <si>
    <t>CAKETRY</t>
  </si>
  <si>
    <t>CAKETUSD</t>
  </si>
  <si>
    <t>DYDXFDUSD</t>
  </si>
  <si>
    <t>PIVXUSDT</t>
  </si>
  <si>
    <t>RUNEFDUSD</t>
  </si>
  <si>
    <t>TIATUSD</t>
  </si>
  <si>
    <t>DOTTUSD</t>
  </si>
  <si>
    <t>GALAFDUSD</t>
  </si>
  <si>
    <t>WLDFDUSD</t>
  </si>
  <si>
    <t>GASTRY</t>
  </si>
  <si>
    <t>NTRNTRY</t>
  </si>
  <si>
    <t>VICBTC</t>
  </si>
  <si>
    <t>VICUSDT</t>
  </si>
  <si>
    <t>VICTRY</t>
  </si>
  <si>
    <t>BLURBTC</t>
  </si>
  <si>
    <t>BLURUSDT</t>
  </si>
  <si>
    <t>BLURTRY</t>
  </si>
  <si>
    <t>BLURFDUSD</t>
  </si>
  <si>
    <t>SUPERFDUSD</t>
  </si>
  <si>
    <t>USTCFDUSD</t>
  </si>
  <si>
    <t>USTCTRY</t>
  </si>
  <si>
    <t>DYDXTRY</t>
  </si>
  <si>
    <t>VANRYUSDT</t>
  </si>
  <si>
    <t>VANRYBTC</t>
  </si>
  <si>
    <t>0,92</t>
  </si>
  <si>
    <t>BTCAEUR</t>
  </si>
  <si>
    <t>AEURUSDT</t>
  </si>
  <si>
    <t>ETHAEUR</t>
  </si>
  <si>
    <t>EURAEUR</t>
  </si>
  <si>
    <t>AUCTIONFDUSD</t>
  </si>
  <si>
    <t>IOTAFDUSD</t>
  </si>
  <si>
    <t>LUNCTRY</t>
  </si>
  <si>
    <t>SUPERTRY</t>
  </si>
  <si>
    <t>LDO</t>
  </si>
  <si>
    <t>TIA</t>
  </si>
  <si>
    <t>JTOUSDT</t>
  </si>
  <si>
    <t>JTOFDUSD</t>
  </si>
  <si>
    <t>JTOTRY</t>
  </si>
  <si>
    <t>1000SATSUSDT</t>
  </si>
  <si>
    <t>1000SATSFDUSD</t>
  </si>
  <si>
    <t>1000SATSTRY</t>
  </si>
  <si>
    <t>SHIBFDUSD</t>
  </si>
  <si>
    <t>SANDFDUSD</t>
  </si>
  <si>
    <t>MEMEETH</t>
  </si>
  <si>
    <t>IOTATRY</t>
  </si>
  <si>
    <t>INJFDUSD</t>
  </si>
  <si>
    <t>FIDATRY</t>
  </si>
  <si>
    <t>BONKUSDT</t>
  </si>
  <si>
    <t>BONKFDUSD</t>
  </si>
  <si>
    <t>BONKTRY</t>
  </si>
  <si>
    <t>ACEFDUSD</t>
  </si>
  <si>
    <t>ACEUSDT</t>
  </si>
  <si>
    <t>ACEBNB</t>
  </si>
  <si>
    <t>ACEBTC</t>
  </si>
  <si>
    <t>ACETRY</t>
  </si>
  <si>
    <t>BLZFDUSD</t>
  </si>
  <si>
    <t>RARETRY</t>
  </si>
  <si>
    <t>VANRYTRY</t>
  </si>
  <si>
    <t>NFPBTC</t>
  </si>
  <si>
    <t>NFPUSDT</t>
  </si>
  <si>
    <t>NFPBNB</t>
  </si>
  <si>
    <t>NFPFDUSD</t>
  </si>
  <si>
    <t>NFPTUSD</t>
  </si>
  <si>
    <t>NFPTRY</t>
  </si>
  <si>
    <t>ARBUSDC</t>
  </si>
  <si>
    <t>AVAXUSDC</t>
  </si>
  <si>
    <t>DOTUSDC</t>
  </si>
  <si>
    <t>INJUSDC</t>
  </si>
  <si>
    <t>MATICUSDC</t>
  </si>
  <si>
    <t>OPUSDC</t>
  </si>
  <si>
    <t>ORDIUSDC</t>
  </si>
  <si>
    <t>AIBTC</t>
  </si>
  <si>
    <t>AIUSDT</t>
  </si>
  <si>
    <t>AIBNB</t>
  </si>
  <si>
    <t>AIFDUSD</t>
  </si>
  <si>
    <t>AITUSD</t>
  </si>
  <si>
    <t>AITRY</t>
  </si>
  <si>
    <t>ICPFDUSD</t>
  </si>
  <si>
    <t>LDOFDUSD</t>
  </si>
  <si>
    <t>MOVRTRY</t>
  </si>
  <si>
    <t>XAIBTC</t>
  </si>
  <si>
    <t>XAIUSDT</t>
  </si>
  <si>
    <t>XAIBNB</t>
  </si>
  <si>
    <t>XAIFDUSD</t>
  </si>
  <si>
    <t>XAITUSD</t>
  </si>
  <si>
    <t>XAITRY</t>
  </si>
  <si>
    <t>SKLTRY</t>
  </si>
  <si>
    <t>STXFDUSD</t>
  </si>
  <si>
    <t>TIAFDUSD</t>
  </si>
  <si>
    <t>MANTABTC</t>
  </si>
  <si>
    <t>MANTAUSDT</t>
  </si>
  <si>
    <t>MANTABNB</t>
  </si>
  <si>
    <t>MANTAFDUSD</t>
  </si>
  <si>
    <t>MANTATRY</t>
  </si>
  <si>
    <t>ENSFDUSD</t>
  </si>
  <si>
    <t>ETCFDUSD</t>
  </si>
  <si>
    <t>SUIUSDC</t>
  </si>
  <si>
    <t>TIAUSDC</t>
  </si>
  <si>
    <t>CHZFDUSD</t>
  </si>
  <si>
    <t>MANTAUSDC</t>
  </si>
  <si>
    <t>ALTBTC</t>
  </si>
  <si>
    <t>ALTUSDT</t>
  </si>
  <si>
    <t>ALTBNB</t>
  </si>
  <si>
    <t>ALTFDUSD</t>
  </si>
  <si>
    <t>ALTTRY</t>
  </si>
  <si>
    <t>APTFDUSD</t>
  </si>
  <si>
    <t>BLURUSDC</t>
  </si>
  <si>
    <t>JUPUSDT</t>
  </si>
  <si>
    <t>JUPFDUSD</t>
  </si>
  <si>
    <t>JUPTRY</t>
  </si>
  <si>
    <t>ALTUSDC</t>
  </si>
  <si>
    <t>MAGICFDUSD</t>
  </si>
  <si>
    <t>SEIUSDC</t>
  </si>
  <si>
    <t>PYTHBTC</t>
  </si>
  <si>
    <t>PYTHUSDT</t>
  </si>
  <si>
    <t>PYTHFDUSD</t>
  </si>
  <si>
    <t>PYTHTRY</t>
  </si>
  <si>
    <t>RONINBTC</t>
  </si>
  <si>
    <t>RONINUSDT</t>
  </si>
  <si>
    <t>RONINFDUSD</t>
  </si>
  <si>
    <t>RONINTRY</t>
  </si>
  <si>
    <t>DYMBTC</t>
  </si>
  <si>
    <t>DYMUSDT</t>
  </si>
  <si>
    <t>DYMFDUSD</t>
  </si>
  <si>
    <t>DYMTRY</t>
  </si>
  <si>
    <t>JUPUSDC</t>
  </si>
  <si>
    <t>PENDLEFDUSD</t>
  </si>
  <si>
    <t>IMX</t>
  </si>
  <si>
    <t>PENDLE</t>
  </si>
  <si>
    <t>PIXELBTC</t>
  </si>
  <si>
    <t>PIXELBNB</t>
  </si>
  <si>
    <t>PIXELUSDT</t>
  </si>
  <si>
    <t>PIXELFDUSD</t>
  </si>
  <si>
    <t>PIXELTRY</t>
  </si>
  <si>
    <t>STRKBTC</t>
  </si>
  <si>
    <t>STRKUSDT</t>
  </si>
  <si>
    <t>STRKFDUSD</t>
  </si>
  <si>
    <t>STRKTRY</t>
  </si>
  <si>
    <t>FILUSDC</t>
  </si>
  <si>
    <t>HBARTRY</t>
  </si>
  <si>
    <t>PENDLETRY</t>
  </si>
  <si>
    <t>WLDUSDC</t>
  </si>
  <si>
    <t>CKBTRY</t>
  </si>
  <si>
    <t>COTITRY</t>
  </si>
  <si>
    <t>LDOTRY</t>
  </si>
  <si>
    <t>UNIUSDC</t>
  </si>
  <si>
    <t>PORTALBTC</t>
  </si>
  <si>
    <t>PORTALUSDT</t>
  </si>
  <si>
    <t>PORTALBNB</t>
  </si>
  <si>
    <t>PORTALFDUSD</t>
  </si>
  <si>
    <t>PORTALTRY</t>
  </si>
  <si>
    <t>ENA</t>
  </si>
  <si>
    <t>ENAUSDT</t>
  </si>
  <si>
    <t>PDABTC</t>
  </si>
  <si>
    <t>PDAUSDT</t>
  </si>
  <si>
    <t>AXLBTC</t>
  </si>
  <si>
    <t>AXLUSDT</t>
  </si>
  <si>
    <t>AXLFDUSD</t>
  </si>
  <si>
    <t>AXLTRY</t>
  </si>
  <si>
    <t>PEPEFDUSD</t>
  </si>
  <si>
    <t>PIXELUSDC</t>
  </si>
  <si>
    <t>STRKUSDC</t>
  </si>
  <si>
    <t>UNIFDUSD</t>
  </si>
  <si>
    <t>OMTRY</t>
  </si>
  <si>
    <t>THETATRY</t>
  </si>
  <si>
    <t>WIFBTC</t>
  </si>
  <si>
    <t>WIFUSDT</t>
  </si>
  <si>
    <t>WIFFDUSD</t>
  </si>
  <si>
    <t>WIFTRY</t>
  </si>
  <si>
    <t>AGIXFDUSD</t>
  </si>
  <si>
    <t>PEPEUSDC</t>
  </si>
  <si>
    <t>SHIBUSDC</t>
  </si>
  <si>
    <t>THETAFDUSD</t>
  </si>
  <si>
    <t>ARTRY</t>
  </si>
  <si>
    <t>METISBTC</t>
  </si>
  <si>
    <t>METISUSDT</t>
  </si>
  <si>
    <t>METISFDUSD</t>
  </si>
  <si>
    <t>METISTRY</t>
  </si>
  <si>
    <t>BNBJPY</t>
  </si>
  <si>
    <t>BTCJPY</t>
  </si>
  <si>
    <t>ETHJPY</t>
  </si>
  <si>
    <t>FLOKIFDUSD</t>
  </si>
  <si>
    <t>GRTFDUSD</t>
  </si>
  <si>
    <t>NEARUSDC</t>
  </si>
  <si>
    <t>SNXTRY</t>
  </si>
  <si>
    <t>AEVOBTC</t>
  </si>
  <si>
    <t>AEVOUSDT</t>
  </si>
  <si>
    <t>AEVOBNB</t>
  </si>
  <si>
    <t>AEVOFDUSD</t>
  </si>
  <si>
    <t>AEVOTRY</t>
  </si>
  <si>
    <t>FETUSDC</t>
  </si>
  <si>
    <t>IMXTRY</t>
  </si>
  <si>
    <t>EURUSDC</t>
  </si>
  <si>
    <t>BOMETRY</t>
  </si>
  <si>
    <t>BOMEBTC</t>
  </si>
  <si>
    <t>BOMEUSDT</t>
  </si>
  <si>
    <t>BOMEFDUSD</t>
  </si>
  <si>
    <t>ETHFIBTC</t>
  </si>
  <si>
    <t>ETHFIUSDT</t>
  </si>
  <si>
    <t>ETHFIBNB</t>
  </si>
  <si>
    <t>ETHFIFDUSD</t>
  </si>
  <si>
    <t>ETHFITRY</t>
  </si>
  <si>
    <t>AAVETRY</t>
  </si>
  <si>
    <t>ARKMFDUSD</t>
  </si>
  <si>
    <t>CRVTRY</t>
  </si>
  <si>
    <t>FETBRL</t>
  </si>
  <si>
    <t>RAYFDUSD</t>
  </si>
  <si>
    <t>RNDREUR</t>
  </si>
  <si>
    <t>BONKUSDC</t>
  </si>
  <si>
    <t>FLOKIUSDC</t>
  </si>
  <si>
    <t>MKRTRY</t>
  </si>
  <si>
    <t>RAYTRY</t>
  </si>
  <si>
    <t>RNDRBRL</t>
  </si>
  <si>
    <t>ENABTC</t>
  </si>
  <si>
    <t>ENABNB</t>
  </si>
  <si>
    <t>ENAFDUSD</t>
  </si>
  <si>
    <t>ENATRY</t>
  </si>
  <si>
    <t>LQTYFDUSD</t>
  </si>
  <si>
    <t>MASKTRY</t>
  </si>
  <si>
    <t>PENDLEUSDC</t>
  </si>
  <si>
    <t>RDNTTRY</t>
  </si>
  <si>
    <t>WBTC</t>
  </si>
  <si>
    <t>WUSDT</t>
  </si>
  <si>
    <t>WFDUSD</t>
  </si>
  <si>
    <t>WTRY</t>
  </si>
  <si>
    <t>BOMEUSDC</t>
  </si>
  <si>
    <t>JTOUSDC</t>
  </si>
  <si>
    <t>WIFUSDC</t>
  </si>
  <si>
    <t>TNSRBTC</t>
  </si>
  <si>
    <t>TNSRUSDT</t>
  </si>
  <si>
    <t>TNSRFDUSD</t>
  </si>
  <si>
    <t>TNSRTRY</t>
  </si>
  <si>
    <t>SAGABTC</t>
  </si>
  <si>
    <t>SAGAUSDT</t>
  </si>
  <si>
    <t>SAGABNB</t>
  </si>
  <si>
    <t>SAGAFDUSD</t>
  </si>
  <si>
    <t>SAGATRY</t>
  </si>
  <si>
    <t>USDTMXN</t>
  </si>
  <si>
    <t>CKBUSDC</t>
  </si>
  <si>
    <t>ENAUSDC</t>
  </si>
  <si>
    <t>ETHFIUSDC</t>
  </si>
  <si>
    <t>YGGUSDC</t>
  </si>
  <si>
    <t>USDTCZK</t>
  </si>
  <si>
    <t>TAOBTC</t>
  </si>
  <si>
    <t>TAOUSDT</t>
  </si>
  <si>
    <t>TAOFDUSD</t>
  </si>
  <si>
    <t>TAOTRY</t>
  </si>
  <si>
    <t>CFXUSDC</t>
  </si>
  <si>
    <t>RNDRUSDC</t>
  </si>
  <si>
    <t>RUNEUSDC</t>
  </si>
  <si>
    <t>SAGAUSDC</t>
  </si>
  <si>
    <t>POLYXTRY</t>
  </si>
  <si>
    <t>OMNIBTC</t>
  </si>
  <si>
    <t>OMNIUSDT</t>
  </si>
  <si>
    <t>OMNIBNB</t>
  </si>
  <si>
    <t>OMNIFDUSD</t>
  </si>
  <si>
    <t>OMNITRY</t>
  </si>
  <si>
    <t>APTUSDC</t>
  </si>
  <si>
    <t>GALAUSDC</t>
  </si>
  <si>
    <t>OMNIBRL</t>
  </si>
  <si>
    <t>STXUSDC</t>
  </si>
  <si>
    <t>ICPUSDC</t>
  </si>
  <si>
    <t>OMNIUSDC</t>
  </si>
  <si>
    <t>PEPEBRL</t>
  </si>
  <si>
    <t>YGGTRY</t>
  </si>
  <si>
    <t>ADAJPY</t>
  </si>
  <si>
    <t>SHIBJPY</t>
  </si>
  <si>
    <t>SOLJPY</t>
  </si>
  <si>
    <t>XRPJPY</t>
  </si>
  <si>
    <t>REZBTC</t>
  </si>
  <si>
    <t>REZUSDT</t>
  </si>
  <si>
    <t>REZBNB</t>
  </si>
  <si>
    <t>REZFDUSD</t>
  </si>
  <si>
    <t>REZTRY</t>
  </si>
  <si>
    <t>EGLDTRY</t>
  </si>
  <si>
    <t>PHBTRY</t>
  </si>
  <si>
    <t>RSRTRY</t>
  </si>
  <si>
    <t>BBBTC</t>
  </si>
  <si>
    <t>BBUSDT</t>
  </si>
  <si>
    <t>BBBNB</t>
  </si>
  <si>
    <t>BBFDUSD</t>
  </si>
  <si>
    <t>BBTRY</t>
  </si>
  <si>
    <t>FRONTUSDC</t>
  </si>
  <si>
    <t>PEOPLETRY</t>
  </si>
  <si>
    <t>TRBUSDC</t>
  </si>
  <si>
    <t>NOTUSDT</t>
  </si>
  <si>
    <t>NOTBNB</t>
  </si>
  <si>
    <t>NOTFDUSD</t>
  </si>
  <si>
    <t>NOTTRY</t>
  </si>
  <si>
    <t>ARKMUSDC</t>
  </si>
  <si>
    <t>ARUSDC</t>
  </si>
  <si>
    <t>BBUSDC</t>
  </si>
  <si>
    <t>CRVUSDC</t>
  </si>
  <si>
    <t>PEOPLEUSDC</t>
  </si>
  <si>
    <t>ARFDUSD</t>
  </si>
  <si>
    <t>ENAEUR</t>
  </si>
  <si>
    <t>PEPEEUR</t>
  </si>
  <si>
    <t>REZUSDC</t>
  </si>
  <si>
    <t>TRBFDUSD</t>
  </si>
  <si>
    <t>USDCTRY</t>
  </si>
  <si>
    <t>BTCMXN</t>
  </si>
  <si>
    <t>XRPMXN</t>
  </si>
  <si>
    <t>ENSUSDC</t>
  </si>
  <si>
    <t>LDOUSDC</t>
  </si>
  <si>
    <t>NOTUSDC</t>
  </si>
  <si>
    <t>NEARBRL</t>
  </si>
  <si>
    <t>HIGHTRY</t>
  </si>
  <si>
    <t>PEOPLEFDUSD</t>
  </si>
  <si>
    <t>TNSRUSDC</t>
  </si>
  <si>
    <t>USDTCOP</t>
  </si>
  <si>
    <t>IOBTC</t>
  </si>
  <si>
    <t>IOUSDT</t>
  </si>
  <si>
    <t>IOBNB</t>
  </si>
  <si>
    <t>IOFDUSD</t>
  </si>
  <si>
    <t>IOTRY</t>
  </si>
  <si>
    <t>NOTBRL</t>
  </si>
  <si>
    <t>TRUTRY</t>
  </si>
  <si>
    <t>WIFEUR</t>
  </si>
  <si>
    <t>ZKBTC</t>
  </si>
  <si>
    <t>ZKUSDT</t>
  </si>
  <si>
    <t>ZKFDUSD</t>
  </si>
  <si>
    <t>ZKTRY</t>
  </si>
  <si>
    <t>LISTAUSDT</t>
  </si>
  <si>
    <t>LISTABNB</t>
  </si>
  <si>
    <t>LISTAFDUSD</t>
  </si>
  <si>
    <t>LISTATRY</t>
  </si>
  <si>
    <t>ZROBTC</t>
  </si>
  <si>
    <t>ZROUSDT</t>
  </si>
  <si>
    <t>ZROFDUSD</t>
  </si>
  <si>
    <t>ZROTRY</t>
  </si>
  <si>
    <t>LISTABRL</t>
  </si>
  <si>
    <t>BAKETRY</t>
  </si>
  <si>
    <t>WIFBRL</t>
  </si>
  <si>
    <t>ZKUSDC</t>
  </si>
  <si>
    <t>ZROUSDC</t>
  </si>
  <si>
    <t>IOUSDC</t>
  </si>
  <si>
    <t>1000SATSUSDC</t>
  </si>
  <si>
    <t>BNXTRY</t>
  </si>
  <si>
    <t>ETHARS</t>
  </si>
  <si>
    <t>GUSDT</t>
  </si>
  <si>
    <t>GTRY</t>
  </si>
  <si>
    <t>BANANABTC</t>
  </si>
  <si>
    <t>BANANAUSDT</t>
  </si>
  <si>
    <t>BANANABNB</t>
  </si>
  <si>
    <t>BANANAFDUSD</t>
  </si>
  <si>
    <t>BANANATRY</t>
  </si>
  <si>
    <t>RENDERBTC</t>
  </si>
  <si>
    <t>RENDERUSDT</t>
  </si>
  <si>
    <t>RENDERFDUSD</t>
  </si>
  <si>
    <t>RENDERUSDC</t>
  </si>
  <si>
    <t>RENDERTRY</t>
  </si>
  <si>
    <t>RENDEREUR</t>
  </si>
  <si>
    <t>RENDERBRL</t>
  </si>
  <si>
    <t>TONBTC</t>
  </si>
  <si>
    <t>TONUSDT</t>
  </si>
  <si>
    <t>TONFDUSD</t>
  </si>
  <si>
    <t>TONTRY</t>
  </si>
  <si>
    <t>BONKBRL</t>
  </si>
  <si>
    <t>NOTEUR</t>
  </si>
  <si>
    <t>DOGEJPY</t>
  </si>
  <si>
    <t>MATICJPY</t>
  </si>
  <si>
    <t>NEARJPY</t>
  </si>
  <si>
    <t>TONUSDC</t>
  </si>
  <si>
    <t>AAVEFDUSD</t>
  </si>
  <si>
    <t>DOGSUSDT</t>
  </si>
  <si>
    <t>DOGSBNB</t>
  </si>
  <si>
    <t>DOGSFDUSD</t>
  </si>
  <si>
    <t>DOGSTRY</t>
  </si>
  <si>
    <t>EUREURI</t>
  </si>
  <si>
    <t>EURIUSDT</t>
  </si>
  <si>
    <t>DOGSBRL</t>
  </si>
  <si>
    <t>DOGSUSDC</t>
  </si>
  <si>
    <t>RAREBRL</t>
  </si>
  <si>
    <t>RAREUSDC</t>
  </si>
  <si>
    <t>SLFBTC</t>
  </si>
  <si>
    <t>SLFTRY</t>
  </si>
  <si>
    <t>SLFUSDC</t>
  </si>
  <si>
    <t>SLFUSDT</t>
  </si>
  <si>
    <t>FET</t>
  </si>
  <si>
    <t>POL</t>
  </si>
  <si>
    <t>AAVEUSDC</t>
  </si>
  <si>
    <t>SUNTRY</t>
  </si>
  <si>
    <t>STMXTRY</t>
  </si>
  <si>
    <t>POLBNB</t>
  </si>
  <si>
    <t>POLBRL</t>
  </si>
  <si>
    <t>POLBTC</t>
  </si>
  <si>
    <t>POLETH</t>
  </si>
  <si>
    <t>POLEUR</t>
  </si>
  <si>
    <t>POLFDUSD</t>
  </si>
  <si>
    <t>POLJPY</t>
  </si>
  <si>
    <t>POLTRY</t>
  </si>
  <si>
    <t>POLUSDC</t>
  </si>
  <si>
    <t>POLUSDT</t>
  </si>
  <si>
    <t>RENDER</t>
  </si>
  <si>
    <t>Qtd Aporte</t>
  </si>
  <si>
    <t>Qtd Atualizada</t>
  </si>
  <si>
    <t>Qtd/Porcentagem</t>
  </si>
  <si>
    <t>Aporte em Dolar</t>
  </si>
  <si>
    <t>HMSTR</t>
  </si>
  <si>
    <t>NEIROUSDT</t>
  </si>
  <si>
    <t>TURBOUSDT</t>
  </si>
  <si>
    <t>1MBABYDOGEUSDT</t>
  </si>
  <si>
    <t>CATIUSDT</t>
  </si>
  <si>
    <t>CATIBNB</t>
  </si>
  <si>
    <t>CATIFDUSD</t>
  </si>
  <si>
    <t>CATITRY</t>
  </si>
  <si>
    <t>1MBABYDOGEFDUSD</t>
  </si>
  <si>
    <t>1MBABYDOGETRY</t>
  </si>
  <si>
    <t>CATIBRL</t>
  </si>
  <si>
    <t>BTCEURI</t>
  </si>
  <si>
    <t>NEIROFDUSD</t>
  </si>
  <si>
    <t>NEIROTRY</t>
  </si>
  <si>
    <t>HMSTRUSDT</t>
  </si>
  <si>
    <t>HMSTRBNB</t>
  </si>
  <si>
    <t>HMSTRFDUSD</t>
  </si>
  <si>
    <t>HMSTRTRY</t>
  </si>
  <si>
    <t>ARB</t>
  </si>
  <si>
    <t>CDB 100%</t>
  </si>
  <si>
    <t>Defiverso</t>
  </si>
  <si>
    <t>LINK</t>
  </si>
  <si>
    <t>EIGENBTC</t>
  </si>
  <si>
    <t>EIGENUSDT</t>
  </si>
  <si>
    <t>EIGENFDUSD</t>
  </si>
  <si>
    <t>EIGENTRY</t>
  </si>
  <si>
    <t>NEIROBRL</t>
  </si>
  <si>
    <t>NEIROEUR</t>
  </si>
  <si>
    <t>BNSOLSOL</t>
  </si>
  <si>
    <t>SCRUSDT</t>
  </si>
  <si>
    <t>USDT</t>
  </si>
  <si>
    <t>SUIBRL</t>
  </si>
  <si>
    <t>TURBOTRY</t>
  </si>
  <si>
    <t>BNSOLUSDT</t>
  </si>
  <si>
    <t>LUMIAUSDT</t>
  </si>
  <si>
    <t>SCRBTC</t>
  </si>
  <si>
    <t>SCRFDUSD</t>
  </si>
  <si>
    <t>SCRTRY</t>
  </si>
  <si>
    <t>KAIAUSDT</t>
  </si>
  <si>
    <t>GRASS</t>
  </si>
  <si>
    <t>SLF</t>
  </si>
  <si>
    <t>COWUSDT</t>
  </si>
  <si>
    <t>CETUSUSDT</t>
  </si>
  <si>
    <t>UNI</t>
  </si>
  <si>
    <t>HBAR</t>
  </si>
  <si>
    <t>CAKE</t>
  </si>
  <si>
    <t>OP</t>
  </si>
  <si>
    <t>AR</t>
  </si>
  <si>
    <t>SEI</t>
  </si>
  <si>
    <t>PEPE</t>
  </si>
  <si>
    <t>GALA</t>
  </si>
  <si>
    <t>DUSK</t>
  </si>
  <si>
    <t>PNUTUSDT</t>
  </si>
  <si>
    <t>ACTUSDT</t>
  </si>
  <si>
    <t>ACTTRY</t>
  </si>
  <si>
    <t>COWTRY</t>
  </si>
  <si>
    <t>CETUSTRY</t>
  </si>
  <si>
    <t>TROYTRY</t>
  </si>
  <si>
    <t>PNUTTRY</t>
  </si>
  <si>
    <t>ACTFDUSD</t>
  </si>
  <si>
    <t>ACTUSDC</t>
  </si>
  <si>
    <t>NEIROUSDC</t>
  </si>
  <si>
    <t>PNUTBTC</t>
  </si>
  <si>
    <t>PNUTFDUSD</t>
  </si>
  <si>
    <t>PNUTUSDC</t>
  </si>
  <si>
    <t>USUALUSDT</t>
  </si>
  <si>
    <t>ACTBRL</t>
  </si>
  <si>
    <t>ACTEUR</t>
  </si>
  <si>
    <t>CATIUSDC</t>
  </si>
  <si>
    <t>ETHEURI</t>
  </si>
  <si>
    <t>LUMIATRY</t>
  </si>
  <si>
    <t>PNUTBRL</t>
  </si>
  <si>
    <t>PNUTEUR</t>
  </si>
  <si>
    <t>APEFDUSD</t>
  </si>
  <si>
    <t>FDUSDUSDC</t>
  </si>
  <si>
    <t>HBARUSDC</t>
  </si>
  <si>
    <t>OMUSDC</t>
  </si>
  <si>
    <t>RAYUSDC</t>
  </si>
  <si>
    <t>TAOUSDC</t>
  </si>
  <si>
    <t>TURBOFDUSD</t>
  </si>
  <si>
    <t>THEBTC</t>
  </si>
  <si>
    <t>THEBNB</t>
  </si>
  <si>
    <t>THEFDUSD</t>
  </si>
  <si>
    <t>THETRY</t>
  </si>
  <si>
    <t>THEUSDT</t>
  </si>
  <si>
    <t>APEUSDC</t>
  </si>
  <si>
    <t>BOMEEUR</t>
  </si>
  <si>
    <t>EIGENUSDC</t>
  </si>
  <si>
    <t>HBARFDUSD</t>
  </si>
  <si>
    <t>MEMEUSDC</t>
  </si>
  <si>
    <t>TROYUSDC</t>
  </si>
  <si>
    <t>WLDEUR</t>
  </si>
  <si>
    <t>1MBABYDOGEUSDC</t>
  </si>
  <si>
    <t>CETUSUSDC</t>
  </si>
  <si>
    <t>COWUSDC</t>
  </si>
  <si>
    <t>DYDXUSDC</t>
  </si>
  <si>
    <t>HMSTRUSDC</t>
  </si>
  <si>
    <t>TURBOUSDC</t>
  </si>
  <si>
    <t>ENABRL</t>
  </si>
  <si>
    <t>EOSFDUSD</t>
  </si>
  <si>
    <t>KAIAUSDC</t>
  </si>
  <si>
    <t>SANDUSDC</t>
  </si>
  <si>
    <t>XLMFDUSD</t>
  </si>
  <si>
    <t>CHZUSDC</t>
  </si>
  <si>
    <t>PYTHUSDC</t>
  </si>
  <si>
    <t>RSRUSDC</t>
  </si>
  <si>
    <t>RSRFDUSD</t>
  </si>
  <si>
    <t>WUSDC</t>
  </si>
  <si>
    <t>XTZUSDC</t>
  </si>
  <si>
    <t>ACXUSDT</t>
  </si>
  <si>
    <t>ORCAUSDT</t>
  </si>
  <si>
    <t>MOVEBTC</t>
  </si>
  <si>
    <t>MOVEUSDT</t>
  </si>
  <si>
    <t>MOVEBNB</t>
  </si>
  <si>
    <t>MOVEFDUSD</t>
  </si>
  <si>
    <t>MOVETRY</t>
  </si>
  <si>
    <t>MEBTC</t>
  </si>
  <si>
    <t>MEUSDT</t>
  </si>
  <si>
    <t>MEFDUSD</t>
  </si>
  <si>
    <t>METRY</t>
  </si>
  <si>
    <t>ACXUSDC</t>
  </si>
  <si>
    <t>ORCAUSDC</t>
  </si>
  <si>
    <t>ACXFDUSD</t>
  </si>
  <si>
    <t>ORCAFDUSD</t>
  </si>
  <si>
    <t>ACXTRY</t>
  </si>
  <si>
    <t>ORCATRY</t>
  </si>
  <si>
    <t>KSMTRY</t>
  </si>
  <si>
    <t>CELOTRY</t>
  </si>
  <si>
    <t>HIVEFDUSD</t>
  </si>
  <si>
    <t>HIVEUSDC</t>
  </si>
  <si>
    <t>IDEXFDUSD</t>
  </si>
  <si>
    <t>IDEXUSDC</t>
  </si>
  <si>
    <t>TLMFDUSD</t>
  </si>
  <si>
    <t>TLMUSDC</t>
  </si>
  <si>
    <t>VELODROMEUSDT</t>
  </si>
  <si>
    <t>VANAUSDT</t>
  </si>
  <si>
    <t>VANABNB</t>
  </si>
  <si>
    <t>VANAFDUSD</t>
  </si>
  <si>
    <t>VANATRY</t>
  </si>
  <si>
    <t>1000CATUSDT</t>
  </si>
  <si>
    <t>1000CATBNB</t>
  </si>
  <si>
    <t>1000CATFDUSD</t>
  </si>
  <si>
    <t>1000CATTRY</t>
  </si>
  <si>
    <t>PENGUUSDT</t>
  </si>
  <si>
    <t>PENGUBNB</t>
  </si>
  <si>
    <t>PENGUFDUSD</t>
  </si>
  <si>
    <t>PENGUTRY</t>
  </si>
  <si>
    <t>USUALBTC</t>
  </si>
  <si>
    <t>USUALFDUSD</t>
  </si>
  <si>
    <t>USUALTRY</t>
  </si>
  <si>
    <t>1000CATUSDC</t>
  </si>
  <si>
    <t>PENGUUSDC</t>
  </si>
  <si>
    <t>Conexão</t>
  </si>
  <si>
    <t>Ativa</t>
  </si>
  <si>
    <t>Última Atualização</t>
  </si>
  <si>
    <t>Tempo (s)</t>
  </si>
  <si>
    <t>Consulta - Table 0</t>
  </si>
  <si>
    <t>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</si>
</sst>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8" formatCode="&quot;R$&quot;\ #,##0.00;[Red]\-&quot;R$&quot;\ #,##0.00"/>
    <numFmt numFmtId="44" formatCode="_-&quot;R$&quot;\ * #,##0.00_-;\-&quot;R$&quot;\ * #,##0.00_-;_-&quot;R$&quot;\ * &quot;-&quot;??_-;_-@_-"/>
    <numFmt numFmtId="43" formatCode="_-* #,##0.00_-;\-* #,##0.00_-;_-* &quot;-&quot;??_-;_-@_-"/>
    <numFmt numFmtId="164" formatCode="dd\-mmm\-yy"/>
    <numFmt numFmtId="165" formatCode="\+0.0%;[Red]\-0.0%"/>
    <numFmt numFmtId="166" formatCode="[$-416]dd\-mmm\-yy;@"/>
    <numFmt numFmtId="167" formatCode="dd/mm/yyyy\ hh:mm:ss"/>
    <numFmt numFmtId="168" formatCode="0.0%"/>
    <numFmt numFmtId="169" formatCode="#,##0_ ;\-#,##0\ "/>
    <numFmt numFmtId="170" formatCode="_-[$R$-416]\ * #,##0.00_-;\-[$R$-416]\ * #,##0.00_-;_-[$R$-416]\ * &quot;-&quot;??_-;_-@_-"/>
    <numFmt numFmtId="171" formatCode="#,##0.00000"/>
    <numFmt numFmtId="172" formatCode="#,##0.00_ ;[Red]\-#,##0.00\ "/>
    <numFmt numFmtId="173" formatCode="#,##0_ ;[Red]\-#,##0\ "/>
    <numFmt numFmtId="174" formatCode="#,##0.00000_ ;[Red]\-#,##0.00000\ "/>
    <numFmt numFmtId="176" formatCode="#,##0.0000000_ ;[Red]\-#,##0.0000000\ "/>
    <numFmt numFmtId="177" formatCode="#,##0.0000000"/>
    <numFmt numFmtId="178" formatCode="mm/yyyy"/>
    <numFmt numFmtId="179" formatCode="mmm/yyyy"/>
    <numFmt numFmtId="180" formatCode="yyyy"/>
    <numFmt numFmtId="181" formatCode="dd/mm/yy"/>
    <numFmt numFmtId="182" formatCode="[$$-409]#,##0.00_ ;[Red]\-[$$-409]#,##0.00\ "/>
    <numFmt numFmtId="183" formatCode="0.00000"/>
    <numFmt numFmtId="184" formatCode="0.00000000"/>
    <numFmt numFmtId="185" formatCode="0.000"/>
    <numFmt numFmtId="186" formatCode="&quot;R$&quot;\ #,##0.00"/>
  </numFmts>
  <fonts count="29" x14ac:knownFonts="1">
    <font>
      <sz val="11"/>
      <color theme="1"/>
      <name val="Calibri"/>
      <family val="2"/>
      <scheme val="minor"/>
    </font>
    <font>
      <sz val="11"/>
      <color theme="1"/>
      <name val="Calibri"/>
      <family val="2"/>
      <scheme val="minor"/>
    </font>
    <font>
      <sz val="11"/>
      <color indexed="8"/>
      <name val="Calibri"/>
      <family val="2"/>
    </font>
    <font>
      <sz val="10"/>
      <color indexed="8"/>
      <name val="Arial"/>
      <family val="2"/>
    </font>
    <font>
      <sz val="10"/>
      <color indexed="8"/>
      <name val="Calibri"/>
      <family val="2"/>
    </font>
    <font>
      <b/>
      <sz val="11"/>
      <color rgb="FF00B050"/>
      <name val="Calibri"/>
      <family val="2"/>
      <scheme val="minor"/>
    </font>
    <font>
      <b/>
      <sz val="12"/>
      <color theme="1"/>
      <name val="Calibri"/>
      <family val="2"/>
      <scheme val="minor"/>
    </font>
    <font>
      <b/>
      <sz val="11"/>
      <color theme="1"/>
      <name val="Calibri"/>
      <family val="2"/>
      <scheme val="minor"/>
    </font>
    <font>
      <sz val="11"/>
      <name val="Calibri"/>
      <family val="2"/>
      <scheme val="minor"/>
    </font>
    <font>
      <sz val="11"/>
      <color rgb="FF000000"/>
      <name val="Calibri"/>
      <family val="2"/>
    </font>
    <font>
      <sz val="8"/>
      <name val="Calibri"/>
      <family val="2"/>
      <scheme val="minor"/>
    </font>
    <font>
      <sz val="11"/>
      <color theme="0"/>
      <name val="Calibri"/>
      <family val="2"/>
      <scheme val="minor"/>
    </font>
    <font>
      <sz val="10"/>
      <color theme="1"/>
      <name val="Verdana"/>
      <family val="2"/>
    </font>
    <font>
      <b/>
      <sz val="10"/>
      <color theme="0"/>
      <name val="Verdana"/>
      <family val="2"/>
    </font>
    <font>
      <b/>
      <sz val="11"/>
      <color theme="0"/>
      <name val="Calibri"/>
      <family val="2"/>
    </font>
    <font>
      <b/>
      <sz val="10"/>
      <color rgb="FF000000"/>
      <name val="Verdana"/>
      <family val="2"/>
    </font>
    <font>
      <b/>
      <sz val="11"/>
      <color rgb="FF000000"/>
      <name val="Calibri"/>
      <family val="2"/>
    </font>
    <font>
      <b/>
      <sz val="11"/>
      <color rgb="FFFF0000"/>
      <name val="Calibri"/>
      <family val="2"/>
      <scheme val="minor"/>
    </font>
    <font>
      <b/>
      <sz val="10"/>
      <color theme="1"/>
      <name val="Verdana"/>
      <family val="2"/>
    </font>
    <font>
      <sz val="11"/>
      <color theme="0" tint="-0.34998626667073579"/>
      <name val="Calibri"/>
      <family val="2"/>
      <scheme val="minor"/>
    </font>
    <font>
      <sz val="8"/>
      <color theme="1"/>
      <name val="Calibri"/>
      <family val="2"/>
      <scheme val="minor"/>
    </font>
    <font>
      <sz val="11"/>
      <color theme="0" tint="-4.9989318521683403E-2"/>
      <name val="Calibri"/>
      <family val="2"/>
      <scheme val="minor"/>
    </font>
    <font>
      <b/>
      <sz val="9"/>
      <color indexed="81"/>
      <name val="Segoe UI"/>
      <family val="2"/>
    </font>
    <font>
      <b/>
      <sz val="9"/>
      <color theme="0"/>
      <name val="Calibri"/>
      <family val="2"/>
    </font>
    <font>
      <sz val="9"/>
      <color theme="1"/>
      <name val="Calibri"/>
      <family val="2"/>
      <scheme val="minor"/>
    </font>
    <font>
      <sz val="10"/>
      <name val="Arial"/>
      <family val="2"/>
    </font>
    <font>
      <sz val="10"/>
      <name val="Verdana"/>
      <family val="2"/>
    </font>
    <font>
      <sz val="9"/>
      <color theme="0" tint="-4.9989318521683403E-2"/>
      <name val="Calibri"/>
      <family val="2"/>
      <scheme val="minor"/>
    </font>
    <font>
      <sz val="11"/>
      <color theme="0" tint="-0.14999847407452621"/>
      <name val="Calibri"/>
      <family val="2"/>
      <scheme val="minor"/>
    </font>
  </fonts>
  <fills count="13">
    <fill>
      <patternFill patternType="none"/>
    </fill>
    <fill>
      <patternFill patternType="gray125"/>
    </fill>
    <fill>
      <patternFill patternType="solid">
        <fgColor rgb="FFFFFFAF"/>
        <bgColor indexed="64"/>
      </patternFill>
    </fill>
    <fill>
      <patternFill patternType="solid">
        <fgColor theme="0"/>
        <bgColor indexed="0"/>
      </patternFill>
    </fill>
    <fill>
      <patternFill patternType="solid">
        <fgColor theme="0"/>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4"/>
        <bgColor indexed="64"/>
      </patternFill>
    </fill>
    <fill>
      <patternFill patternType="solid">
        <fgColor rgb="FF00B050"/>
        <bgColor indexed="64"/>
      </patternFill>
    </fill>
    <fill>
      <patternFill patternType="solid">
        <fgColor theme="8"/>
        <bgColor indexed="0"/>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tint="0.79998168889431442"/>
        <bgColor indexed="64"/>
      </patternFill>
    </fill>
  </fills>
  <borders count="73">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style="thin">
        <color indexed="64"/>
      </right>
      <top/>
      <bottom/>
      <diagonal/>
    </border>
    <border>
      <left style="thin">
        <color indexed="8"/>
      </left>
      <right style="thin">
        <color indexed="64"/>
      </right>
      <top style="thin">
        <color indexed="8"/>
      </top>
      <bottom style="thin">
        <color indexed="8"/>
      </bottom>
      <diagonal/>
    </border>
    <border>
      <left style="thin">
        <color indexed="22"/>
      </left>
      <right style="thin">
        <color indexed="64"/>
      </right>
      <top style="thin">
        <color indexed="22"/>
      </top>
      <bottom style="thin">
        <color indexed="22"/>
      </bottom>
      <diagonal/>
    </border>
    <border>
      <left style="thin">
        <color indexed="64"/>
      </left>
      <right style="thin">
        <color indexed="64"/>
      </right>
      <top style="thin">
        <color indexed="8"/>
      </top>
      <bottom style="thin">
        <color indexed="8"/>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style="thin">
        <color auto="1"/>
      </top>
      <bottom/>
      <diagonal/>
    </border>
    <border>
      <left style="thick">
        <color auto="1"/>
      </left>
      <right style="thick">
        <color auto="1"/>
      </right>
      <top/>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indexed="64"/>
      </left>
      <right style="thin">
        <color indexed="64"/>
      </right>
      <top/>
      <bottom style="medium">
        <color indexed="64"/>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
      <left/>
      <right style="thin">
        <color theme="0" tint="-0.14996795556505021"/>
      </right>
      <top/>
      <bottom/>
      <diagonal/>
    </border>
    <border>
      <left style="thin">
        <color theme="0" tint="-0.14993743705557422"/>
      </left>
      <right style="thin">
        <color theme="0" tint="-0.14996795556505021"/>
      </right>
      <top style="thin">
        <color theme="0" tint="-0.14996795556505021"/>
      </top>
      <bottom/>
      <diagonal/>
    </border>
    <border>
      <left/>
      <right style="thin">
        <color theme="0" tint="-0.14993743705557422"/>
      </right>
      <top style="thin">
        <color theme="0" tint="-0.14993743705557422"/>
      </top>
      <bottom/>
      <diagonal/>
    </border>
    <border>
      <left/>
      <right style="thin">
        <color theme="0" tint="-0.14993743705557422"/>
      </right>
      <top/>
      <bottom style="thin">
        <color theme="0" tint="-0.14996795556505021"/>
      </bottom>
      <diagonal/>
    </border>
    <border>
      <left/>
      <right style="thin">
        <color theme="0" tint="-0.14993743705557422"/>
      </right>
      <top/>
      <bottom/>
      <diagonal/>
    </border>
    <border>
      <left/>
      <right style="thin">
        <color theme="0" tint="-0.14993743705557422"/>
      </right>
      <top/>
      <bottom style="thin">
        <color theme="0" tint="-0.14993743705557422"/>
      </bottom>
      <diagonal/>
    </border>
    <border>
      <left style="thin">
        <color theme="0" tint="-0.14993743705557422"/>
      </left>
      <right style="thin">
        <color theme="0" tint="-0.14996795556505021"/>
      </right>
      <top/>
      <bottom style="thin">
        <color theme="0" tint="-0.14996795556505021"/>
      </bottom>
      <diagonal/>
    </border>
    <border>
      <left style="thin">
        <color theme="0" tint="-0.14993743705557422"/>
      </left>
      <right style="thin">
        <color theme="0" tint="-0.14996795556505021"/>
      </right>
      <top/>
      <bottom/>
      <diagonal/>
    </border>
    <border>
      <left style="thin">
        <color theme="0" tint="-0.14993743705557422"/>
      </left>
      <right style="thin">
        <color theme="0" tint="-0.14993743705557422"/>
      </right>
      <top style="thin">
        <color theme="0" tint="-0.14996795556505021"/>
      </top>
      <bottom/>
      <diagonal/>
    </border>
    <border>
      <left style="medium">
        <color indexed="64"/>
      </left>
      <right style="thin">
        <color theme="0" tint="-0.14993743705557422"/>
      </right>
      <top/>
      <bottom style="thin">
        <color theme="0" tint="-0.14996795556505021"/>
      </bottom>
      <diagonal/>
    </border>
    <border>
      <left style="medium">
        <color indexed="64"/>
      </left>
      <right style="thin">
        <color theme="0" tint="-0.14996795556505021"/>
      </right>
      <top/>
      <bottom style="thin">
        <color theme="0" tint="-0.14996795556505021"/>
      </bottom>
      <diagonal/>
    </border>
    <border>
      <left style="medium">
        <color indexed="64"/>
      </left>
      <right style="thin">
        <color theme="0" tint="-0.14996795556505021"/>
      </right>
      <top style="thin">
        <color theme="0" tint="-0.14996795556505021"/>
      </top>
      <bottom/>
      <diagonal/>
    </border>
    <border>
      <left style="medium">
        <color indexed="64"/>
      </left>
      <right style="thin">
        <color theme="0" tint="-0.14996795556505021"/>
      </right>
      <top/>
      <bottom/>
      <diagonal/>
    </border>
    <border>
      <left style="thin">
        <color theme="0" tint="-0.14993743705557422"/>
      </left>
      <right style="thin">
        <color theme="0" tint="-0.14996795556505021"/>
      </right>
      <top style="thin">
        <color theme="0" tint="-0.14993743705557422"/>
      </top>
      <bottom/>
      <diagonal/>
    </border>
    <border>
      <left/>
      <right style="thin">
        <color theme="0" tint="-0.14996795556505021"/>
      </right>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xf numFmtId="44" fontId="1" fillId="0" borderId="0" applyFont="0" applyFill="0" applyBorder="0" applyAlignment="0" applyProtection="0"/>
    <xf numFmtId="0" fontId="25" fillId="0" borderId="0"/>
    <xf numFmtId="43" fontId="25" fillId="0" borderId="0" applyFont="0" applyFill="0" applyBorder="0" applyAlignment="0" applyProtection="0"/>
    <xf numFmtId="0" fontId="25" fillId="0" borderId="0"/>
    <xf numFmtId="0" fontId="26" fillId="0" borderId="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5" fillId="0" borderId="0" applyFont="0" applyFill="0" applyBorder="0" applyAlignment="0" applyProtection="0"/>
    <xf numFmtId="0" fontId="25" fillId="0" borderId="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cellStyleXfs>
  <cellXfs count="248">
    <xf numFmtId="0" fontId="0" fillId="0" borderId="0" xfId="0"/>
    <xf numFmtId="0" fontId="0" fillId="0" borderId="0" xfId="0" applyAlignment="1">
      <alignment horizontal="center"/>
    </xf>
    <xf numFmtId="0" fontId="0" fillId="0" borderId="0" xfId="0" applyAlignment="1">
      <alignment vertical="center" wrapText="1"/>
    </xf>
    <xf numFmtId="0" fontId="0" fillId="0" borderId="5" xfId="0" applyBorder="1"/>
    <xf numFmtId="43" fontId="2" fillId="0" borderId="2" xfId="1" applyFont="1" applyFill="1" applyBorder="1" applyAlignment="1">
      <alignment horizontal="right" wrapText="1"/>
    </xf>
    <xf numFmtId="43" fontId="2" fillId="0" borderId="8" xfId="1" applyFont="1" applyFill="1" applyBorder="1" applyAlignment="1">
      <alignment horizontal="right" wrapText="1"/>
    </xf>
    <xf numFmtId="166" fontId="0" fillId="0" borderId="0" xfId="0" applyNumberFormat="1"/>
    <xf numFmtId="166" fontId="0" fillId="0" borderId="6" xfId="0" applyNumberFormat="1" applyBorder="1"/>
    <xf numFmtId="0" fontId="2" fillId="0" borderId="0" xfId="3" applyFont="1" applyAlignment="1">
      <alignment horizontal="center" wrapText="1"/>
    </xf>
    <xf numFmtId="0" fontId="4" fillId="3" borderId="0" xfId="3" applyFont="1" applyFill="1" applyAlignment="1">
      <alignment horizontal="center" vertical="center" wrapText="1"/>
    </xf>
    <xf numFmtId="0" fontId="0" fillId="4" borderId="0" xfId="0" applyFill="1" applyAlignment="1">
      <alignment horizontal="center"/>
    </xf>
    <xf numFmtId="165" fontId="5" fillId="4" borderId="0" xfId="2" applyNumberFormat="1" applyFont="1" applyFill="1" applyAlignment="1">
      <alignment horizontal="center"/>
    </xf>
    <xf numFmtId="165" fontId="5" fillId="4" borderId="0" xfId="2" applyNumberFormat="1" applyFont="1" applyFill="1" applyBorder="1" applyAlignment="1">
      <alignment horizontal="center"/>
    </xf>
    <xf numFmtId="0" fontId="0" fillId="4" borderId="4" xfId="0" applyFill="1" applyBorder="1" applyAlignment="1">
      <alignment horizontal="center"/>
    </xf>
    <xf numFmtId="8" fontId="0" fillId="0" borderId="0" xfId="0" applyNumberFormat="1" applyAlignment="1">
      <alignment horizontal="center"/>
    </xf>
    <xf numFmtId="165" fontId="5" fillId="5" borderId="10" xfId="2" applyNumberFormat="1" applyFont="1" applyFill="1" applyBorder="1" applyAlignment="1">
      <alignment horizontal="center"/>
    </xf>
    <xf numFmtId="8" fontId="5" fillId="5" borderId="10" xfId="2" applyNumberFormat="1" applyFont="1" applyFill="1" applyBorder="1" applyAlignment="1">
      <alignment horizontal="center"/>
    </xf>
    <xf numFmtId="8" fontId="8" fillId="5" borderId="10" xfId="2" applyNumberFormat="1" applyFont="1" applyFill="1" applyBorder="1" applyAlignment="1">
      <alignment horizontal="center"/>
    </xf>
    <xf numFmtId="10" fontId="0" fillId="0" borderId="0" xfId="2" applyNumberFormat="1" applyFont="1" applyBorder="1" applyAlignment="1">
      <alignment horizontal="center"/>
    </xf>
    <xf numFmtId="168" fontId="8" fillId="5" borderId="10" xfId="2" applyNumberFormat="1" applyFont="1" applyFill="1" applyBorder="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0" borderId="6" xfId="0" applyBorder="1"/>
    <xf numFmtId="43" fontId="0" fillId="0" borderId="0" xfId="1" applyFont="1"/>
    <xf numFmtId="43" fontId="0" fillId="0" borderId="6" xfId="1" applyFont="1" applyBorder="1"/>
    <xf numFmtId="43" fontId="0" fillId="0" borderId="0" xfId="1" applyFont="1" applyBorder="1"/>
    <xf numFmtId="43" fontId="0" fillId="0" borderId="11" xfId="1" applyFont="1" applyBorder="1"/>
    <xf numFmtId="43" fontId="0" fillId="0" borderId="14" xfId="1" applyFont="1" applyBorder="1"/>
    <xf numFmtId="0" fontId="0" fillId="2" borderId="14" xfId="0" applyFill="1" applyBorder="1"/>
    <xf numFmtId="164" fontId="2" fillId="2" borderId="14" xfId="3" applyNumberFormat="1" applyFont="1" applyFill="1" applyBorder="1" applyAlignment="1">
      <alignment horizontal="left" wrapText="1"/>
    </xf>
    <xf numFmtId="0" fontId="0" fillId="0" borderId="0" xfId="0" applyAlignment="1">
      <alignment horizontal="left"/>
    </xf>
    <xf numFmtId="0" fontId="11" fillId="6" borderId="0" xfId="0" applyFont="1" applyFill="1" applyAlignment="1">
      <alignment horizontal="center"/>
    </xf>
    <xf numFmtId="2" fontId="11" fillId="6" borderId="0" xfId="0" applyNumberFormat="1" applyFont="1" applyFill="1" applyAlignment="1">
      <alignment horizontal="center"/>
    </xf>
    <xf numFmtId="14" fontId="0" fillId="0" borderId="0" xfId="0" applyNumberFormat="1" applyAlignment="1">
      <alignment horizontal="center"/>
    </xf>
    <xf numFmtId="2" fontId="0" fillId="0" borderId="0" xfId="0" applyNumberFormat="1" applyAlignment="1">
      <alignment horizontal="center"/>
    </xf>
    <xf numFmtId="2" fontId="0" fillId="0" borderId="0" xfId="0" applyNumberFormat="1" applyAlignment="1">
      <alignment horizontal="center" vertical="center"/>
    </xf>
    <xf numFmtId="0" fontId="0" fillId="6" borderId="3" xfId="0" applyFill="1" applyBorder="1" applyAlignment="1">
      <alignment horizontal="left"/>
    </xf>
    <xf numFmtId="0" fontId="0" fillId="6" borderId="3" xfId="0" applyFill="1" applyBorder="1" applyAlignment="1">
      <alignment horizontal="center"/>
    </xf>
    <xf numFmtId="0" fontId="0" fillId="6" borderId="3" xfId="0" applyFill="1" applyBorder="1"/>
    <xf numFmtId="170" fontId="0" fillId="0" borderId="0" xfId="0" applyNumberFormat="1" applyAlignment="1">
      <alignment horizontal="center"/>
    </xf>
    <xf numFmtId="4" fontId="0" fillId="0" borderId="0" xfId="0" applyNumberFormat="1" applyAlignment="1">
      <alignment horizontal="center" vertical="center"/>
    </xf>
    <xf numFmtId="169" fontId="2" fillId="4" borderId="2" xfId="1" applyNumberFormat="1" applyFont="1" applyFill="1" applyBorder="1" applyAlignment="1">
      <alignment horizontal="center" wrapText="1"/>
    </xf>
    <xf numFmtId="3" fontId="2" fillId="4" borderId="2" xfId="3" applyNumberFormat="1" applyFont="1" applyFill="1" applyBorder="1" applyAlignment="1">
      <alignment horizontal="center" wrapText="1"/>
    </xf>
    <xf numFmtId="171" fontId="2" fillId="4" borderId="2" xfId="3" applyNumberFormat="1" applyFont="1" applyFill="1" applyBorder="1" applyAlignment="1">
      <alignment horizontal="center" wrapText="1"/>
    </xf>
    <xf numFmtId="164" fontId="2" fillId="4" borderId="2" xfId="3" applyNumberFormat="1" applyFont="1" applyFill="1" applyBorder="1" applyAlignment="1">
      <alignment horizontal="center" wrapText="1"/>
    </xf>
    <xf numFmtId="43" fontId="7" fillId="0" borderId="15" xfId="1" applyFont="1" applyBorder="1" applyAlignment="1"/>
    <xf numFmtId="0" fontId="12" fillId="4" borderId="0" xfId="0" applyFont="1" applyFill="1"/>
    <xf numFmtId="9" fontId="12" fillId="4" borderId="0" xfId="2" applyFont="1" applyFill="1" applyAlignment="1">
      <alignment horizontal="center"/>
    </xf>
    <xf numFmtId="8" fontId="12" fillId="4" borderId="0" xfId="0" applyNumberFormat="1" applyFont="1" applyFill="1" applyAlignment="1">
      <alignment horizontal="center"/>
    </xf>
    <xf numFmtId="8" fontId="13" fillId="7" borderId="12" xfId="0" applyNumberFormat="1" applyFont="1" applyFill="1" applyBorder="1" applyAlignment="1">
      <alignment horizontal="center"/>
    </xf>
    <xf numFmtId="8" fontId="13" fillId="8" borderId="13" xfId="0" applyNumberFormat="1" applyFont="1" applyFill="1" applyBorder="1" applyAlignment="1">
      <alignment horizontal="center"/>
    </xf>
    <xf numFmtId="0" fontId="14" fillId="7" borderId="16" xfId="0" applyFont="1" applyFill="1" applyBorder="1" applyAlignment="1">
      <alignment horizontal="center"/>
    </xf>
    <xf numFmtId="0" fontId="14" fillId="7" borderId="17" xfId="0" applyFont="1" applyFill="1" applyBorder="1" applyAlignment="1">
      <alignment horizontal="center"/>
    </xf>
    <xf numFmtId="0" fontId="14" fillId="7" borderId="18" xfId="0" applyFont="1" applyFill="1" applyBorder="1" applyAlignment="1">
      <alignment horizontal="center"/>
    </xf>
    <xf numFmtId="0" fontId="14" fillId="7" borderId="19" xfId="0" applyFont="1" applyFill="1" applyBorder="1" applyAlignment="1">
      <alignment horizontal="center"/>
    </xf>
    <xf numFmtId="8" fontId="12" fillId="4" borderId="20" xfId="0" applyNumberFormat="1" applyFont="1" applyFill="1" applyBorder="1" applyAlignment="1">
      <alignment horizontal="center"/>
    </xf>
    <xf numFmtId="8" fontId="12" fillId="4" borderId="21" xfId="0" applyNumberFormat="1" applyFont="1" applyFill="1" applyBorder="1" applyAlignment="1">
      <alignment horizontal="center"/>
    </xf>
    <xf numFmtId="0" fontId="15" fillId="4" borderId="22" xfId="0" applyFont="1" applyFill="1" applyBorder="1" applyAlignment="1">
      <alignment horizontal="left"/>
    </xf>
    <xf numFmtId="9" fontId="12" fillId="4" borderId="23" xfId="2" applyFont="1" applyFill="1" applyBorder="1" applyAlignment="1">
      <alignment horizontal="center"/>
    </xf>
    <xf numFmtId="9" fontId="12" fillId="4" borderId="24" xfId="2" applyFont="1" applyFill="1" applyBorder="1" applyAlignment="1">
      <alignment horizontal="center"/>
    </xf>
    <xf numFmtId="8" fontId="12" fillId="4" borderId="24" xfId="2" applyNumberFormat="1" applyFont="1" applyFill="1" applyBorder="1" applyAlignment="1">
      <alignment horizontal="center"/>
    </xf>
    <xf numFmtId="8" fontId="12" fillId="4" borderId="24" xfId="0" applyNumberFormat="1" applyFont="1" applyFill="1" applyBorder="1" applyAlignment="1">
      <alignment horizontal="center"/>
    </xf>
    <xf numFmtId="8" fontId="12" fillId="4" borderId="25" xfId="0" applyNumberFormat="1" applyFont="1" applyFill="1" applyBorder="1" applyAlignment="1">
      <alignment horizontal="center"/>
    </xf>
    <xf numFmtId="8" fontId="0" fillId="4" borderId="0" xfId="0" applyNumberFormat="1" applyFill="1" applyAlignment="1">
      <alignment horizontal="center"/>
    </xf>
    <xf numFmtId="0" fontId="14" fillId="7" borderId="26" xfId="0" applyFont="1" applyFill="1" applyBorder="1" applyAlignment="1">
      <alignment horizontal="center"/>
    </xf>
    <xf numFmtId="8" fontId="14" fillId="7" borderId="27" xfId="0" applyNumberFormat="1" applyFont="1" applyFill="1" applyBorder="1" applyAlignment="1">
      <alignment horizontal="center"/>
    </xf>
    <xf numFmtId="0" fontId="16" fillId="4" borderId="22" xfId="0" applyFont="1" applyFill="1" applyBorder="1" applyAlignment="1">
      <alignment horizontal="left"/>
    </xf>
    <xf numFmtId="8" fontId="0" fillId="4" borderId="28" xfId="0" applyNumberFormat="1" applyFill="1" applyBorder="1" applyAlignment="1">
      <alignment horizontal="center"/>
    </xf>
    <xf numFmtId="0" fontId="15" fillId="4" borderId="29" xfId="0" applyFont="1" applyFill="1" applyBorder="1" applyAlignment="1">
      <alignment horizontal="left"/>
    </xf>
    <xf numFmtId="9" fontId="12" fillId="4" borderId="30" xfId="2" applyFont="1" applyFill="1" applyBorder="1" applyAlignment="1">
      <alignment horizontal="center"/>
    </xf>
    <xf numFmtId="9" fontId="12" fillId="4" borderId="31" xfId="2" applyFont="1" applyFill="1" applyBorder="1" applyAlignment="1">
      <alignment horizontal="center"/>
    </xf>
    <xf numFmtId="8" fontId="12" fillId="4" borderId="31" xfId="2" applyNumberFormat="1" applyFont="1" applyFill="1" applyBorder="1" applyAlignment="1">
      <alignment horizontal="center"/>
    </xf>
    <xf numFmtId="8" fontId="12" fillId="4" borderId="31" xfId="0" applyNumberFormat="1" applyFont="1" applyFill="1" applyBorder="1" applyAlignment="1">
      <alignment horizontal="center"/>
    </xf>
    <xf numFmtId="9" fontId="12" fillId="4" borderId="0" xfId="2" applyFont="1" applyFill="1"/>
    <xf numFmtId="8" fontId="12" fillId="4" borderId="0" xfId="0" applyNumberFormat="1" applyFont="1" applyFill="1"/>
    <xf numFmtId="0" fontId="16" fillId="4" borderId="29" xfId="0" applyFont="1" applyFill="1" applyBorder="1" applyAlignment="1">
      <alignment horizontal="left"/>
    </xf>
    <xf numFmtId="8" fontId="0" fillId="4" borderId="32" xfId="0" applyNumberFormat="1" applyFill="1" applyBorder="1" applyAlignment="1">
      <alignment horizontal="center"/>
    </xf>
    <xf numFmtId="172" fontId="11" fillId="6" borderId="0" xfId="0" applyNumberFormat="1" applyFont="1" applyFill="1" applyAlignment="1">
      <alignment horizontal="center"/>
    </xf>
    <xf numFmtId="172" fontId="0" fillId="0" borderId="0" xfId="0" applyNumberFormat="1" applyAlignment="1">
      <alignment horizontal="center"/>
    </xf>
    <xf numFmtId="173" fontId="11" fillId="6" borderId="0" xfId="0" applyNumberFormat="1" applyFont="1" applyFill="1" applyAlignment="1">
      <alignment horizontal="center"/>
    </xf>
    <xf numFmtId="173" fontId="0" fillId="0" borderId="0" xfId="0" applyNumberFormat="1" applyAlignment="1">
      <alignment horizontal="center"/>
    </xf>
    <xf numFmtId="164" fontId="2" fillId="4" borderId="2" xfId="3" applyNumberFormat="1" applyFont="1" applyFill="1" applyBorder="1" applyAlignment="1">
      <alignment horizontal="left" wrapText="1"/>
    </xf>
    <xf numFmtId="14" fontId="0" fillId="0" borderId="0" xfId="0" applyNumberFormat="1"/>
    <xf numFmtId="14" fontId="11" fillId="6" borderId="0" xfId="0" applyNumberFormat="1" applyFont="1" applyFill="1" applyAlignment="1">
      <alignment horizontal="center"/>
    </xf>
    <xf numFmtId="2" fontId="0" fillId="0" borderId="0" xfId="0" applyNumberFormat="1"/>
    <xf numFmtId="8" fontId="2" fillId="0" borderId="0" xfId="3" applyNumberFormat="1" applyFont="1" applyAlignment="1">
      <alignment horizontal="center" wrapText="1"/>
    </xf>
    <xf numFmtId="0" fontId="16" fillId="4" borderId="33" xfId="0" applyFont="1" applyFill="1" applyBorder="1" applyAlignment="1">
      <alignment horizontal="left"/>
    </xf>
    <xf numFmtId="0" fontId="17" fillId="2" borderId="14" xfId="0" applyFont="1" applyFill="1" applyBorder="1"/>
    <xf numFmtId="0" fontId="14" fillId="9" borderId="1" xfId="3" applyFont="1" applyFill="1" applyBorder="1" applyAlignment="1">
      <alignment horizontal="center" vertical="center" wrapText="1"/>
    </xf>
    <xf numFmtId="0" fontId="14" fillId="9" borderId="7" xfId="3" applyFont="1" applyFill="1" applyBorder="1" applyAlignment="1">
      <alignment horizontal="center" vertical="center" wrapText="1"/>
    </xf>
    <xf numFmtId="0" fontId="14" fillId="3" borderId="0" xfId="3" applyFont="1" applyFill="1" applyAlignment="1">
      <alignment horizontal="center" vertical="center" wrapText="1"/>
    </xf>
    <xf numFmtId="0" fontId="14" fillId="9" borderId="9" xfId="3" applyFont="1" applyFill="1" applyBorder="1" applyAlignment="1">
      <alignment horizontal="center" vertical="center" wrapText="1"/>
    </xf>
    <xf numFmtId="0" fontId="12" fillId="10" borderId="0" xfId="0" applyFont="1" applyFill="1"/>
    <xf numFmtId="0" fontId="12" fillId="10" borderId="34" xfId="0" applyFont="1" applyFill="1" applyBorder="1" applyAlignment="1">
      <alignment horizontal="center" vertical="center"/>
    </xf>
    <xf numFmtId="0" fontId="18" fillId="10" borderId="34" xfId="0" applyFont="1" applyFill="1" applyBorder="1" applyAlignment="1">
      <alignment horizontal="center" vertical="center"/>
    </xf>
    <xf numFmtId="9" fontId="14" fillId="7" borderId="12" xfId="2" applyFont="1" applyFill="1" applyBorder="1" applyAlignment="1">
      <alignment horizontal="center" vertical="center"/>
    </xf>
    <xf numFmtId="9" fontId="14" fillId="7" borderId="18" xfId="2" applyFont="1" applyFill="1" applyBorder="1" applyAlignment="1">
      <alignment horizontal="center" vertical="center"/>
    </xf>
    <xf numFmtId="0" fontId="0" fillId="0" borderId="35"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8" fontId="12" fillId="4" borderId="19" xfId="0" applyNumberFormat="1" applyFont="1" applyFill="1" applyBorder="1" applyAlignment="1">
      <alignment horizontal="center"/>
    </xf>
    <xf numFmtId="8" fontId="13" fillId="7" borderId="35" xfId="0" applyNumberFormat="1" applyFont="1" applyFill="1" applyBorder="1" applyAlignment="1">
      <alignment horizontal="center"/>
    </xf>
    <xf numFmtId="9" fontId="12" fillId="4" borderId="25" xfId="2" applyFont="1" applyFill="1" applyBorder="1" applyAlignment="1">
      <alignment horizontal="center"/>
    </xf>
    <xf numFmtId="8" fontId="13" fillId="8" borderId="20" xfId="0" applyNumberFormat="1" applyFont="1" applyFill="1" applyBorder="1" applyAlignment="1">
      <alignment horizontal="center"/>
    </xf>
    <xf numFmtId="9" fontId="0" fillId="0" borderId="0" xfId="2" applyFont="1" applyAlignment="1">
      <alignment horizontal="center" vertical="center"/>
    </xf>
    <xf numFmtId="9" fontId="0" fillId="0" borderId="24" xfId="2" applyFont="1" applyBorder="1" applyAlignment="1">
      <alignment horizontal="center" vertical="center"/>
    </xf>
    <xf numFmtId="172" fontId="0" fillId="0" borderId="0" xfId="0" applyNumberFormat="1" applyAlignment="1">
      <alignment horizontal="center" vertical="center"/>
    </xf>
    <xf numFmtId="172" fontId="14" fillId="7" borderId="18" xfId="2" applyNumberFormat="1" applyFont="1" applyFill="1" applyBorder="1" applyAlignment="1">
      <alignment horizontal="center" vertical="center"/>
    </xf>
    <xf numFmtId="172" fontId="0" fillId="0" borderId="24" xfId="0" applyNumberFormat="1" applyBorder="1" applyAlignment="1">
      <alignment horizontal="center" vertical="center"/>
    </xf>
    <xf numFmtId="172" fontId="0" fillId="0" borderId="31" xfId="0" applyNumberFormat="1" applyBorder="1" applyAlignment="1">
      <alignment horizontal="center" vertical="center"/>
    </xf>
    <xf numFmtId="173" fontId="0" fillId="0" borderId="0" xfId="0" applyNumberFormat="1" applyAlignment="1">
      <alignment horizontal="center" vertical="center"/>
    </xf>
    <xf numFmtId="173" fontId="14" fillId="7" borderId="19" xfId="2" applyNumberFormat="1" applyFont="1" applyFill="1" applyBorder="1" applyAlignment="1">
      <alignment horizontal="center" vertical="center"/>
    </xf>
    <xf numFmtId="173" fontId="14" fillId="7" borderId="18" xfId="2" applyNumberFormat="1" applyFont="1" applyFill="1" applyBorder="1" applyAlignment="1">
      <alignment horizontal="center" vertical="center"/>
    </xf>
    <xf numFmtId="173" fontId="0" fillId="0" borderId="24" xfId="0" applyNumberFormat="1" applyBorder="1" applyAlignment="1">
      <alignment horizontal="center" vertical="center"/>
    </xf>
    <xf numFmtId="173" fontId="19" fillId="0" borderId="0" xfId="0" applyNumberFormat="1" applyFont="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172" fontId="0" fillId="0" borderId="37" xfId="0" applyNumberFormat="1" applyBorder="1" applyAlignment="1">
      <alignment horizontal="center" vertical="center"/>
    </xf>
    <xf numFmtId="10" fontId="0" fillId="0" borderId="0" xfId="2" applyNumberFormat="1" applyFont="1" applyAlignment="1">
      <alignment horizontal="center" vertical="center"/>
    </xf>
    <xf numFmtId="10" fontId="14" fillId="7" borderId="18" xfId="2" applyNumberFormat="1" applyFont="1" applyFill="1" applyBorder="1" applyAlignment="1">
      <alignment horizontal="center" vertical="center"/>
    </xf>
    <xf numFmtId="10" fontId="0" fillId="0" borderId="24" xfId="2" applyNumberFormat="1" applyFont="1" applyBorder="1" applyAlignment="1">
      <alignment horizontal="center" vertical="center"/>
    </xf>
    <xf numFmtId="174" fontId="0" fillId="0" borderId="0" xfId="0" applyNumberFormat="1" applyAlignment="1">
      <alignment horizontal="center" vertical="center"/>
    </xf>
    <xf numFmtId="174" fontId="14" fillId="7" borderId="18" xfId="2" applyNumberFormat="1" applyFont="1" applyFill="1" applyBorder="1" applyAlignment="1">
      <alignment horizontal="center" vertical="center"/>
    </xf>
    <xf numFmtId="174" fontId="0" fillId="0" borderId="0" xfId="0" applyNumberFormat="1"/>
    <xf numFmtId="174" fontId="19" fillId="0" borderId="0" xfId="0" applyNumberFormat="1" applyFont="1" applyAlignment="1">
      <alignment horizontal="center" vertical="center"/>
    </xf>
    <xf numFmtId="176" fontId="0" fillId="0" borderId="0" xfId="0" applyNumberFormat="1" applyAlignment="1">
      <alignment horizontal="center" vertical="center"/>
    </xf>
    <xf numFmtId="176" fontId="14" fillId="7" borderId="18" xfId="2" applyNumberFormat="1" applyFont="1" applyFill="1" applyBorder="1" applyAlignment="1">
      <alignment horizontal="center" vertical="center"/>
    </xf>
    <xf numFmtId="176" fontId="0" fillId="0" borderId="0" xfId="0" applyNumberFormat="1"/>
    <xf numFmtId="10" fontId="0" fillId="0" borderId="37" xfId="2" applyNumberFormat="1" applyFont="1" applyBorder="1" applyAlignment="1">
      <alignment horizontal="center" vertical="center"/>
    </xf>
    <xf numFmtId="173" fontId="0" fillId="11" borderId="25" xfId="0" applyNumberFormat="1" applyFill="1" applyBorder="1" applyAlignment="1">
      <alignment horizontal="center" vertical="center"/>
    </xf>
    <xf numFmtId="173" fontId="0" fillId="11" borderId="21" xfId="0" applyNumberFormat="1" applyFill="1" applyBorder="1" applyAlignment="1">
      <alignment horizontal="center" vertical="center"/>
    </xf>
    <xf numFmtId="9" fontId="0" fillId="0" borderId="38" xfId="2" applyFont="1" applyBorder="1" applyAlignment="1">
      <alignment horizontal="center" vertical="center"/>
    </xf>
    <xf numFmtId="0" fontId="0" fillId="0" borderId="38" xfId="0" applyBorder="1" applyAlignment="1">
      <alignment horizontal="center" vertical="center"/>
    </xf>
    <xf numFmtId="173" fontId="0" fillId="0" borderId="38" xfId="0" applyNumberFormat="1" applyBorder="1" applyAlignment="1">
      <alignment horizontal="center" vertical="center"/>
    </xf>
    <xf numFmtId="172" fontId="0" fillId="0" borderId="38" xfId="0" applyNumberFormat="1" applyBorder="1" applyAlignment="1">
      <alignment horizontal="center" vertical="center"/>
    </xf>
    <xf numFmtId="170" fontId="0" fillId="0" borderId="0" xfId="0" applyNumberFormat="1"/>
    <xf numFmtId="177" fontId="2" fillId="4" borderId="2" xfId="3" applyNumberFormat="1" applyFont="1" applyFill="1" applyBorder="1" applyAlignment="1">
      <alignment horizontal="center" wrapText="1"/>
    </xf>
    <xf numFmtId="8" fontId="0" fillId="0" borderId="0" xfId="0" applyNumberFormat="1"/>
    <xf numFmtId="172" fontId="0" fillId="0" borderId="0" xfId="0" applyNumberFormat="1"/>
    <xf numFmtId="178" fontId="0" fillId="0" borderId="0" xfId="0" applyNumberFormat="1"/>
    <xf numFmtId="180" fontId="0" fillId="0" borderId="0" xfId="0" applyNumberFormat="1"/>
    <xf numFmtId="179" fontId="0" fillId="0" borderId="0" xfId="0" applyNumberFormat="1"/>
    <xf numFmtId="10" fontId="0" fillId="0" borderId="0" xfId="0" applyNumberFormat="1"/>
    <xf numFmtId="10" fontId="0" fillId="0" borderId="0" xfId="2" applyNumberFormat="1" applyFont="1"/>
    <xf numFmtId="14" fontId="0" fillId="5" borderId="0" xfId="0" applyNumberFormat="1" applyFill="1" applyAlignment="1">
      <alignment horizontal="center" vertical="center"/>
    </xf>
    <xf numFmtId="44" fontId="0" fillId="0" borderId="0" xfId="4" applyFont="1"/>
    <xf numFmtId="181" fontId="0" fillId="0" borderId="0" xfId="0" applyNumberFormat="1" applyAlignment="1">
      <alignment horizontal="center"/>
    </xf>
    <xf numFmtId="14" fontId="21" fillId="0" borderId="0" xfId="0" applyNumberFormat="1" applyFont="1"/>
    <xf numFmtId="181" fontId="0" fillId="0" borderId="0" xfId="0" applyNumberFormat="1"/>
    <xf numFmtId="0" fontId="24" fillId="0" borderId="0" xfId="0" applyFont="1"/>
    <xf numFmtId="0" fontId="23" fillId="9" borderId="1" xfId="3" applyFont="1" applyFill="1" applyBorder="1" applyAlignment="1">
      <alignment horizontal="center" vertical="center" wrapText="1"/>
    </xf>
    <xf numFmtId="178" fontId="0" fillId="0" borderId="0" xfId="0" applyNumberFormat="1" applyAlignment="1">
      <alignment horizontal="center" vertical="center"/>
    </xf>
    <xf numFmtId="0" fontId="23" fillId="9" borderId="41" xfId="3" applyFont="1" applyFill="1" applyBorder="1" applyAlignment="1">
      <alignment horizontal="center" vertical="center" wrapText="1"/>
    </xf>
    <xf numFmtId="0" fontId="21" fillId="0" borderId="0" xfId="0" applyFont="1"/>
    <xf numFmtId="0" fontId="27" fillId="0" borderId="0" xfId="0" applyFont="1"/>
    <xf numFmtId="170" fontId="21" fillId="0" borderId="0" xfId="0" applyNumberFormat="1" applyFont="1"/>
    <xf numFmtId="10" fontId="0" fillId="0" borderId="38" xfId="2" applyNumberFormat="1" applyFont="1" applyBorder="1" applyAlignment="1">
      <alignment horizontal="center" vertical="center"/>
    </xf>
    <xf numFmtId="0" fontId="0" fillId="0" borderId="43" xfId="0" applyBorder="1" applyAlignment="1">
      <alignment horizontal="center" vertical="center"/>
    </xf>
    <xf numFmtId="174" fontId="0" fillId="11" borderId="44" xfId="0" applyNumberFormat="1" applyFill="1"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172" fontId="0" fillId="0" borderId="46" xfId="0" applyNumberFormat="1" applyBorder="1" applyAlignment="1">
      <alignment horizontal="center" vertical="center"/>
    </xf>
    <xf numFmtId="173" fontId="0" fillId="11" borderId="44" xfId="0" applyNumberFormat="1" applyFill="1" applyBorder="1" applyAlignment="1">
      <alignment horizontal="center" vertical="center"/>
    </xf>
    <xf numFmtId="9" fontId="0" fillId="0" borderId="46" xfId="2" applyFont="1" applyBorder="1" applyAlignment="1">
      <alignment horizontal="center" vertical="center"/>
    </xf>
    <xf numFmtId="173" fontId="0" fillId="0" borderId="46" xfId="0" applyNumberFormat="1" applyBorder="1" applyAlignment="1">
      <alignment horizontal="center" vertical="center"/>
    </xf>
    <xf numFmtId="3" fontId="2" fillId="4" borderId="2" xfId="3" applyNumberFormat="1" applyFont="1" applyFill="1" applyBorder="1" applyAlignment="1">
      <alignment horizontal="center"/>
    </xf>
    <xf numFmtId="0" fontId="0" fillId="2" borderId="42" xfId="0" applyFill="1" applyBorder="1"/>
    <xf numFmtId="43" fontId="0" fillId="0" borderId="42" xfId="1" applyFont="1" applyBorder="1"/>
    <xf numFmtId="10" fontId="0" fillId="0" borderId="0" xfId="2" applyNumberFormat="1" applyFont="1" applyBorder="1" applyAlignment="1">
      <alignment horizontal="center" vertical="center"/>
    </xf>
    <xf numFmtId="0" fontId="6" fillId="0" borderId="0" xfId="0" applyFont="1" applyAlignment="1">
      <alignment vertical="center"/>
    </xf>
    <xf numFmtId="177" fontId="0" fillId="0" borderId="0" xfId="0" applyNumberFormat="1" applyAlignment="1">
      <alignment horizontal="center"/>
    </xf>
    <xf numFmtId="0" fontId="0" fillId="2" borderId="48" xfId="0" applyFill="1" applyBorder="1"/>
    <xf numFmtId="43" fontId="0" fillId="0" borderId="49" xfId="1" applyFont="1" applyBorder="1"/>
    <xf numFmtId="43" fontId="0" fillId="0" borderId="48" xfId="1" applyFont="1" applyBorder="1"/>
    <xf numFmtId="0" fontId="15" fillId="4" borderId="0" xfId="0" applyFont="1" applyFill="1" applyAlignment="1">
      <alignment horizontal="left"/>
    </xf>
    <xf numFmtId="9" fontId="12" fillId="4" borderId="0" xfId="2" applyFont="1" applyFill="1" applyBorder="1" applyAlignment="1">
      <alignment horizontal="center"/>
    </xf>
    <xf numFmtId="8" fontId="12" fillId="4" borderId="0" xfId="2" applyNumberFormat="1" applyFont="1" applyFill="1" applyBorder="1" applyAlignment="1">
      <alignment horizontal="center"/>
    </xf>
    <xf numFmtId="182" fontId="12" fillId="0" borderId="50" xfId="4" applyNumberFormat="1" applyFont="1" applyBorder="1" applyAlignment="1">
      <alignment horizontal="center"/>
    </xf>
    <xf numFmtId="182" fontId="0" fillId="0" borderId="0" xfId="0" applyNumberFormat="1"/>
    <xf numFmtId="183" fontId="0" fillId="0" borderId="0" xfId="0" applyNumberFormat="1"/>
    <xf numFmtId="184" fontId="0" fillId="0" borderId="0" xfId="0" applyNumberFormat="1"/>
    <xf numFmtId="183" fontId="11" fillId="6" borderId="0" xfId="0" applyNumberFormat="1" applyFont="1" applyFill="1" applyAlignment="1">
      <alignment horizontal="center"/>
    </xf>
    <xf numFmtId="182" fontId="12" fillId="4" borderId="19" xfId="0" applyNumberFormat="1" applyFont="1" applyFill="1" applyBorder="1" applyAlignment="1">
      <alignment horizontal="center"/>
    </xf>
    <xf numFmtId="49" fontId="19" fillId="0" borderId="0" xfId="0" applyNumberFormat="1" applyFont="1" applyAlignment="1">
      <alignment horizontal="center" vertical="center"/>
    </xf>
    <xf numFmtId="10" fontId="0" fillId="0" borderId="48" xfId="2" applyNumberFormat="1" applyFont="1" applyBorder="1" applyAlignment="1">
      <alignment horizontal="center" vertical="center"/>
    </xf>
    <xf numFmtId="9" fontId="0" fillId="0" borderId="48" xfId="2" applyFont="1" applyBorder="1" applyAlignment="1">
      <alignment horizontal="center" vertical="center"/>
    </xf>
    <xf numFmtId="0" fontId="0" fillId="0" borderId="48" xfId="0" applyBorder="1" applyAlignment="1">
      <alignment horizontal="center" vertical="center"/>
    </xf>
    <xf numFmtId="172" fontId="0" fillId="0" borderId="48" xfId="0" applyNumberFormat="1" applyBorder="1" applyAlignment="1">
      <alignment horizontal="center" vertical="center"/>
    </xf>
    <xf numFmtId="173" fontId="0" fillId="0" borderId="48" xfId="0" applyNumberFormat="1" applyBorder="1" applyAlignment="1">
      <alignment horizontal="center" vertical="center"/>
    </xf>
    <xf numFmtId="172" fontId="0" fillId="11" borderId="48" xfId="0" applyNumberFormat="1" applyFill="1" applyBorder="1" applyAlignment="1">
      <alignment horizontal="center" vertical="center"/>
    </xf>
    <xf numFmtId="10" fontId="0" fillId="0" borderId="46" xfId="2" applyNumberFormat="1" applyFont="1" applyBorder="1" applyAlignment="1">
      <alignment horizontal="center" vertical="center"/>
    </xf>
    <xf numFmtId="172" fontId="0" fillId="11" borderId="46" xfId="0" applyNumberFormat="1" applyFill="1" applyBorder="1" applyAlignment="1">
      <alignment horizontal="center" vertical="center"/>
    </xf>
    <xf numFmtId="173" fontId="0" fillId="11" borderId="47" xfId="0" applyNumberFormat="1" applyFill="1" applyBorder="1" applyAlignment="1">
      <alignment horizontal="center" vertical="center"/>
    </xf>
    <xf numFmtId="173" fontId="19" fillId="0" borderId="51" xfId="0" applyNumberFormat="1" applyFont="1" applyBorder="1" applyAlignment="1">
      <alignment horizontal="center" vertical="center"/>
    </xf>
    <xf numFmtId="49" fontId="19" fillId="0" borderId="52" xfId="0" applyNumberFormat="1" applyFont="1" applyBorder="1" applyAlignment="1">
      <alignment horizontal="center" vertical="center"/>
    </xf>
    <xf numFmtId="173" fontId="19" fillId="0" borderId="53" xfId="0" applyNumberFormat="1" applyFont="1" applyBorder="1" applyAlignment="1">
      <alignment horizontal="center" vertical="center"/>
    </xf>
    <xf numFmtId="173" fontId="19" fillId="0" borderId="52" xfId="0" applyNumberFormat="1" applyFont="1" applyBorder="1" applyAlignment="1">
      <alignment horizontal="center" vertical="center"/>
    </xf>
    <xf numFmtId="174" fontId="0" fillId="0" borderId="48" xfId="0" applyNumberFormat="1" applyBorder="1" applyAlignment="1">
      <alignment horizontal="center" vertical="center"/>
    </xf>
    <xf numFmtId="174" fontId="0" fillId="0" borderId="46" xfId="0" applyNumberFormat="1" applyBorder="1" applyAlignment="1">
      <alignment horizontal="center" vertical="center"/>
    </xf>
    <xf numFmtId="174" fontId="0" fillId="11" borderId="47" xfId="0" applyNumberFormat="1" applyFill="1" applyBorder="1" applyAlignment="1">
      <alignment horizontal="center" vertical="center"/>
    </xf>
    <xf numFmtId="173" fontId="19" fillId="0" borderId="55" xfId="0" applyNumberFormat="1" applyFont="1" applyBorder="1" applyAlignment="1">
      <alignment horizontal="center" vertical="center"/>
    </xf>
    <xf numFmtId="49" fontId="19" fillId="0" borderId="56" xfId="0" applyNumberFormat="1" applyFont="1" applyBorder="1" applyAlignment="1">
      <alignment horizontal="center" vertical="center"/>
    </xf>
    <xf numFmtId="176" fontId="0" fillId="0" borderId="48" xfId="0" applyNumberFormat="1" applyBorder="1" applyAlignment="1">
      <alignment horizontal="center" vertical="center"/>
    </xf>
    <xf numFmtId="176" fontId="0" fillId="11" borderId="44" xfId="0" applyNumberFormat="1" applyFill="1" applyBorder="1" applyAlignment="1">
      <alignment horizontal="center" vertical="center"/>
    </xf>
    <xf numFmtId="176" fontId="0" fillId="0" borderId="46" xfId="0" applyNumberFormat="1" applyBorder="1" applyAlignment="1">
      <alignment horizontal="center" vertical="center"/>
    </xf>
    <xf numFmtId="176" fontId="0" fillId="11" borderId="47" xfId="0" applyNumberFormat="1" applyFill="1" applyBorder="1" applyAlignment="1">
      <alignment horizontal="center" vertical="center"/>
    </xf>
    <xf numFmtId="185" fontId="0" fillId="0" borderId="0" xfId="0" applyNumberFormat="1"/>
    <xf numFmtId="9" fontId="0" fillId="0" borderId="0" xfId="2" applyFont="1"/>
    <xf numFmtId="8" fontId="13" fillId="8" borderId="12" xfId="0" applyNumberFormat="1" applyFont="1" applyFill="1" applyBorder="1" applyAlignment="1">
      <alignment horizontal="center"/>
    </xf>
    <xf numFmtId="8" fontId="13" fillId="7" borderId="20" xfId="0" applyNumberFormat="1" applyFont="1" applyFill="1" applyBorder="1" applyAlignment="1">
      <alignment horizontal="center"/>
    </xf>
    <xf numFmtId="173" fontId="19" fillId="0" borderId="57" xfId="0" applyNumberFormat="1" applyFont="1" applyBorder="1" applyAlignment="1">
      <alignment horizontal="center" vertical="center"/>
    </xf>
    <xf numFmtId="173" fontId="19" fillId="0" borderId="58" xfId="0" applyNumberFormat="1" applyFont="1" applyBorder="1" applyAlignment="1">
      <alignment horizontal="center" vertical="center"/>
    </xf>
    <xf numFmtId="173" fontId="19" fillId="0" borderId="54" xfId="0" applyNumberFormat="1" applyFont="1" applyBorder="1" applyAlignment="1">
      <alignment horizontal="center" vertical="center"/>
    </xf>
    <xf numFmtId="49" fontId="19" fillId="0" borderId="59" xfId="0" applyNumberFormat="1" applyFont="1" applyBorder="1" applyAlignment="1">
      <alignment horizontal="center" vertical="center"/>
    </xf>
    <xf numFmtId="173" fontId="19" fillId="0" borderId="60" xfId="0" applyNumberFormat="1" applyFont="1" applyBorder="1" applyAlignment="1">
      <alignment horizontal="center" vertical="center"/>
    </xf>
    <xf numFmtId="173" fontId="19" fillId="0" borderId="59" xfId="0" applyNumberFormat="1" applyFont="1" applyBorder="1" applyAlignment="1">
      <alignment horizontal="center" vertical="center"/>
    </xf>
    <xf numFmtId="173" fontId="19" fillId="0" borderId="61" xfId="0" applyNumberFormat="1" applyFont="1" applyBorder="1" applyAlignment="1">
      <alignment horizontal="center" vertical="center"/>
    </xf>
    <xf numFmtId="49" fontId="19" fillId="0" borderId="62" xfId="0" applyNumberFormat="1" applyFont="1" applyBorder="1" applyAlignment="1">
      <alignment horizontal="center" vertical="center"/>
    </xf>
    <xf numFmtId="173" fontId="19" fillId="0" borderId="56" xfId="0" applyNumberFormat="1" applyFont="1" applyBorder="1" applyAlignment="1">
      <alignment horizontal="center" vertical="center"/>
    </xf>
    <xf numFmtId="49" fontId="19" fillId="0" borderId="63" xfId="0" applyNumberFormat="1" applyFont="1" applyBorder="1" applyAlignment="1">
      <alignment horizontal="center" vertical="center"/>
    </xf>
    <xf numFmtId="174" fontId="19" fillId="0" borderId="64" xfId="0" applyNumberFormat="1" applyFont="1" applyBorder="1" applyAlignment="1">
      <alignment horizontal="center" vertical="center"/>
    </xf>
    <xf numFmtId="174" fontId="19" fillId="0" borderId="65" xfId="0" applyNumberFormat="1" applyFont="1" applyBorder="1" applyAlignment="1">
      <alignment horizontal="center" vertical="center"/>
    </xf>
    <xf numFmtId="174" fontId="19" fillId="0" borderId="63" xfId="0" applyNumberFormat="1" applyFont="1" applyBorder="1" applyAlignment="1">
      <alignment horizontal="center" vertical="center"/>
    </xf>
    <xf numFmtId="173" fontId="19" fillId="0" borderId="66" xfId="0" applyNumberFormat="1" applyFont="1" applyBorder="1" applyAlignment="1">
      <alignment horizontal="center" vertical="center"/>
    </xf>
    <xf numFmtId="176" fontId="19" fillId="0" borderId="53" xfId="0" applyNumberFormat="1" applyFont="1" applyBorder="1" applyAlignment="1">
      <alignment horizontal="center" vertical="center"/>
    </xf>
    <xf numFmtId="176" fontId="19" fillId="0" borderId="67" xfId="0" applyNumberFormat="1" applyFont="1" applyBorder="1" applyAlignment="1">
      <alignment horizontal="center" vertical="center"/>
    </xf>
    <xf numFmtId="10" fontId="0" fillId="0" borderId="0" xfId="0" applyNumberFormat="1" applyAlignment="1">
      <alignment horizontal="center" vertical="center"/>
    </xf>
    <xf numFmtId="186" fontId="19" fillId="0" borderId="68" xfId="0" applyNumberFormat="1" applyFont="1" applyBorder="1" applyAlignment="1">
      <alignment horizontal="right" vertical="center"/>
    </xf>
    <xf numFmtId="182" fontId="12" fillId="4" borderId="0" xfId="0" applyNumberFormat="1" applyFont="1" applyFill="1" applyAlignment="1">
      <alignment horizontal="center"/>
    </xf>
    <xf numFmtId="182" fontId="12" fillId="0" borderId="0" xfId="4" applyNumberFormat="1" applyFont="1" applyBorder="1" applyAlignment="1">
      <alignment horizontal="center"/>
    </xf>
    <xf numFmtId="173" fontId="19" fillId="0" borderId="68" xfId="0" applyNumberFormat="1" applyFont="1" applyBorder="1" applyAlignment="1">
      <alignment horizontal="right" vertical="center"/>
    </xf>
    <xf numFmtId="0" fontId="0" fillId="0" borderId="69" xfId="0" applyBorder="1" applyAlignment="1">
      <alignment horizontal="center" vertical="center"/>
    </xf>
    <xf numFmtId="10" fontId="0" fillId="0" borderId="70" xfId="2" applyNumberFormat="1" applyFont="1" applyBorder="1" applyAlignment="1">
      <alignment horizontal="center" vertical="center"/>
    </xf>
    <xf numFmtId="0" fontId="0" fillId="0" borderId="70" xfId="0" applyBorder="1" applyAlignment="1">
      <alignment horizontal="center" vertical="center"/>
    </xf>
    <xf numFmtId="172" fontId="0" fillId="0" borderId="70" xfId="0" applyNumberFormat="1" applyBorder="1" applyAlignment="1">
      <alignment horizontal="center" vertical="center"/>
    </xf>
    <xf numFmtId="176" fontId="0" fillId="0" borderId="70" xfId="0" applyNumberFormat="1" applyBorder="1" applyAlignment="1">
      <alignment horizontal="center" vertical="center"/>
    </xf>
    <xf numFmtId="172" fontId="0" fillId="11" borderId="70" xfId="0" applyNumberFormat="1" applyFill="1" applyBorder="1" applyAlignment="1">
      <alignment horizontal="center" vertical="center"/>
    </xf>
    <xf numFmtId="176" fontId="0" fillId="11" borderId="71" xfId="0" applyNumberFormat="1" applyFill="1" applyBorder="1" applyAlignment="1">
      <alignment horizontal="center" vertical="center"/>
    </xf>
    <xf numFmtId="182" fontId="19" fillId="0" borderId="68" xfId="0" applyNumberFormat="1" applyFont="1" applyBorder="1" applyAlignment="1">
      <alignment horizontal="right" vertical="center"/>
    </xf>
    <xf numFmtId="10" fontId="0" fillId="0" borderId="72" xfId="2" applyNumberFormat="1" applyFont="1" applyBorder="1" applyAlignment="1">
      <alignment horizontal="center" vertical="center"/>
    </xf>
    <xf numFmtId="0" fontId="0" fillId="0" borderId="72" xfId="0" applyBorder="1" applyAlignment="1">
      <alignment horizontal="center" vertical="center"/>
    </xf>
    <xf numFmtId="0" fontId="7" fillId="0" borderId="0" xfId="0" applyFont="1"/>
    <xf numFmtId="22" fontId="0" fillId="0" borderId="0" xfId="0" applyNumberFormat="1"/>
    <xf numFmtId="0" fontId="28" fillId="0" borderId="0" xfId="0" applyFont="1"/>
    <xf numFmtId="167" fontId="0" fillId="0" borderId="0" xfId="0" applyNumberFormat="1" applyAlignment="1">
      <alignment horizontal="center"/>
    </xf>
    <xf numFmtId="0" fontId="20" fillId="12" borderId="0" xfId="0" applyFont="1" applyFill="1" applyAlignment="1">
      <alignment horizontal="center" wrapText="1"/>
    </xf>
    <xf numFmtId="0" fontId="14" fillId="9" borderId="39" xfId="3" applyFont="1" applyFill="1" applyBorder="1" applyAlignment="1">
      <alignment horizontal="center" vertical="center"/>
    </xf>
    <xf numFmtId="0" fontId="14" fillId="9" borderId="40" xfId="3" applyFont="1" applyFill="1" applyBorder="1" applyAlignment="1">
      <alignment horizontal="center" vertical="center"/>
    </xf>
  </cellXfs>
  <cellStyles count="21">
    <cellStyle name="Comma 10" xfId="6" xr:uid="{67878ECF-385B-4118-B8DB-9C1406E75CFF}"/>
    <cellStyle name="Comma 10 2" xfId="15" xr:uid="{19FFAFD0-129F-4528-9017-E484FE50484C}"/>
    <cellStyle name="Moeda" xfId="4" builtinId="4"/>
    <cellStyle name="Moeda 2" xfId="14" xr:uid="{AE8455C1-EE07-4855-A5D2-B56B6E8C1BBE}"/>
    <cellStyle name="Normal" xfId="0" builtinId="0"/>
    <cellStyle name="Normal 2" xfId="7" xr:uid="{6EFB600A-FD22-4FF4-9A8D-D9029FD2928E}"/>
    <cellStyle name="Normal 2 2" xfId="16" xr:uid="{BAB378AC-8B44-4763-89CB-7733B04EDEA0}"/>
    <cellStyle name="Normal 3" xfId="5" xr:uid="{3966E3FA-1114-405D-9D7F-E492395E5980}"/>
    <cellStyle name="Normal 4" xfId="8" xr:uid="{5482646C-FE42-4093-B79E-A6B65B02E3D3}"/>
    <cellStyle name="Normal_Sheet1" xfId="3" xr:uid="{00000000-0005-0000-0000-000003000000}"/>
    <cellStyle name="Porcentagem" xfId="2" builtinId="5"/>
    <cellStyle name="Separador de milhares 7" xfId="9" xr:uid="{D46ADD8D-B207-4644-8733-057A3F3BD804}"/>
    <cellStyle name="Separador de milhares 7 2" xfId="17" xr:uid="{EAC3F5D7-0A08-4724-9FE0-9FE8E649F574}"/>
    <cellStyle name="Separador de milhares 7 3" xfId="10" xr:uid="{746619EE-0C31-49A7-A45D-4E2DBB704169}"/>
    <cellStyle name="Separador de milhares 7 3 2" xfId="18" xr:uid="{B1600440-A619-4698-9460-DCB1AD1A758D}"/>
    <cellStyle name="Vírgula" xfId="1" builtinId="3"/>
    <cellStyle name="Vírgula 2" xfId="11" xr:uid="{67960D44-75EC-4AAB-8EED-AA7F590A53CF}"/>
    <cellStyle name="Vírgula 2 2" xfId="19" xr:uid="{15156D99-0A8E-47BA-89B2-1957F7531893}"/>
    <cellStyle name="Vírgula 2 3" xfId="12" xr:uid="{46847194-92FB-4D35-9561-E6FD0A743245}"/>
    <cellStyle name="Vírgula 2 3 2" xfId="20" xr:uid="{291A1FC1-4186-4497-8415-68BDAD2A8420}"/>
    <cellStyle name="Vírgula 3" xfId="13" xr:uid="{82364CF1-3AA1-4B49-AE9E-03971A201F4E}"/>
  </cellStyles>
  <dxfs count="23">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172" formatCode="#,##0.00_ ;[Red]\-#,##0.00\ "/>
    </dxf>
    <dxf>
      <numFmt numFmtId="172" formatCode="#,##0.00_ ;[Red]\-#,##0.00\ "/>
    </dxf>
    <dxf>
      <numFmt numFmtId="179" formatCode="mmm/yyyy"/>
    </dxf>
    <dxf>
      <numFmt numFmtId="181" formatCode="dd/mm/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8"/>
        </top>
      </border>
    </dxf>
    <dxf>
      <alignment horizontal="center" vertical="bottom" textRotation="0" wrapText="0" indent="0" justifyLastLine="0" shrinkToFit="0" readingOrder="0"/>
    </dxf>
    <dxf>
      <border outline="0">
        <bottom style="thin">
          <color indexed="8"/>
        </bottom>
      </border>
    </dxf>
    <dxf>
      <font>
        <b/>
        <i val="0"/>
        <strike val="0"/>
        <condense val="0"/>
        <extend val="0"/>
        <outline val="0"/>
        <shadow val="0"/>
        <u val="none"/>
        <vertAlign val="baseline"/>
        <sz val="9"/>
        <color theme="0"/>
        <name val="Calibri"/>
        <family val="2"/>
        <scheme val="none"/>
      </font>
      <fill>
        <patternFill patternType="solid">
          <fgColor indexed="0"/>
          <bgColor theme="8"/>
        </patternFill>
      </fill>
      <alignment horizontal="center" vertical="center" textRotation="0" wrapText="1" indent="0" justifyLastLine="0" shrinkToFit="0" readingOrder="0"/>
      <border diagonalUp="0" diagonalDown="0" outline="0">
        <left style="thin">
          <color indexed="8"/>
        </left>
        <right style="thin">
          <color indexed="8"/>
        </right>
        <top/>
        <bottom/>
      </border>
    </dxf>
    <dxf>
      <numFmt numFmtId="34" formatCode="_-&quot;R$&quot;\ * #,##0.00_-;\-&quot;R$&quot;\ * #,##0.00_-;_-&quot;R$&quot;\ * &quot;-&quot;??_-;_-@_-"/>
    </dxf>
    <dxf>
      <font>
        <b val="0"/>
        <i val="0"/>
        <strike val="0"/>
        <condense val="0"/>
        <extend val="0"/>
        <outline val="0"/>
        <shadow val="0"/>
        <u val="none"/>
        <vertAlign val="baseline"/>
        <sz val="11"/>
        <color theme="1"/>
        <name val="Calibri"/>
        <family val="2"/>
        <scheme val="minor"/>
      </font>
      <numFmt numFmtId="34" formatCode="_-&quot;R$&quot;\ * #,##0.00_-;\-&quot;R$&quot;\ * #,##0.00_-;_-&quot;R$&quot;\ * &quot;-&quot;??_-;_-@_-"/>
    </dxf>
    <dxf>
      <numFmt numFmtId="178" formatCode="mm/yyyy"/>
      <alignment horizontal="center" vertical="center"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FFAF"/>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ichStyles" Target="richData/rich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6"/>
          <c:order val="2"/>
          <c:tx>
            <c:strRef>
              <c:f>Consolidado!$D$2</c:f>
              <c:strCache>
                <c:ptCount val="1"/>
                <c:pt idx="0">
                  <c:v>Valor Investido</c:v>
                </c:pt>
              </c:strCache>
            </c:strRef>
          </c:tx>
          <c:spPr>
            <a:gradFill rotWithShape="1">
              <a:gsLst>
                <a:gs pos="0">
                  <a:schemeClr val="accent1">
                    <a:tint val="48000"/>
                    <a:satMod val="103000"/>
                    <a:lumMod val="102000"/>
                    <a:tint val="94000"/>
                  </a:schemeClr>
                </a:gs>
                <a:gs pos="50000">
                  <a:schemeClr val="accent1">
                    <a:tint val="48000"/>
                    <a:satMod val="110000"/>
                    <a:lumMod val="100000"/>
                    <a:shade val="100000"/>
                  </a:schemeClr>
                </a:gs>
                <a:gs pos="100000">
                  <a:schemeClr val="accent1">
                    <a:tint val="48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elete val="1"/>
          </c:dLbls>
          <c:cat>
            <c:numRef>
              <c:f>Consolidado!$A$3:$A$6</c:f>
              <c:numCache>
                <c:formatCode>General</c:formatCode>
                <c:ptCount val="4"/>
              </c:numCache>
            </c:numRef>
          </c:cat>
          <c:val>
            <c:numRef>
              <c:f>Consolidado!$D$3:$D$6</c:f>
              <c:numCache>
                <c:formatCode>"R$"#,##0.00_);[Red]\("R$"#,##0.00\)</c:formatCode>
                <c:ptCount val="4"/>
              </c:numCache>
            </c:numRef>
          </c:val>
          <c:extLst>
            <c:ext xmlns:c16="http://schemas.microsoft.com/office/drawing/2014/chart" uri="{C3380CC4-5D6E-409C-BE32-E72D297353CC}">
              <c16:uniqueId val="{00000000-DAAE-40DC-919B-39D8168AF02D}"/>
            </c:ext>
          </c:extLst>
        </c:ser>
        <c:ser>
          <c:idx val="0"/>
          <c:order val="3"/>
          <c:tx>
            <c:strRef>
              <c:f>Consolidado!$E$2</c:f>
              <c:strCache>
                <c:ptCount val="1"/>
                <c:pt idx="0">
                  <c:v>Valor Atual</c:v>
                </c:pt>
              </c:strCache>
            </c:strRef>
          </c:tx>
          <c:spPr>
            <a:gradFill rotWithShape="1">
              <a:gsLst>
                <a:gs pos="0">
                  <a:schemeClr val="accent1">
                    <a:shade val="47000"/>
                    <a:satMod val="103000"/>
                    <a:lumMod val="102000"/>
                    <a:tint val="94000"/>
                  </a:schemeClr>
                </a:gs>
                <a:gs pos="50000">
                  <a:schemeClr val="accent1">
                    <a:shade val="47000"/>
                    <a:satMod val="110000"/>
                    <a:lumMod val="100000"/>
                    <a:shade val="100000"/>
                  </a:schemeClr>
                </a:gs>
                <a:gs pos="100000">
                  <a:schemeClr val="accent1">
                    <a:shade val="4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delete val="1"/>
          </c:dLbls>
          <c:cat>
            <c:numRef>
              <c:f>Consolidado!$A$3:$A$6</c:f>
              <c:numCache>
                <c:formatCode>General</c:formatCode>
                <c:ptCount val="4"/>
              </c:numCache>
            </c:numRef>
          </c:cat>
          <c:val>
            <c:numRef>
              <c:f>Consolidado!$E$3:$E$6</c:f>
              <c:numCache>
                <c:formatCode>"R$"#,##0.00_);[Red]\("R$"#,##0.00\)</c:formatCode>
                <c:ptCount val="4"/>
              </c:numCache>
            </c:numRef>
          </c:val>
          <c:extLst>
            <c:ext xmlns:c16="http://schemas.microsoft.com/office/drawing/2014/chart" uri="{C3380CC4-5D6E-409C-BE32-E72D297353CC}">
              <c16:uniqueId val="{00000001-DAAE-40DC-919B-39D8168AF02D}"/>
            </c:ext>
          </c:extLst>
        </c:ser>
        <c:dLbls>
          <c:showLegendKey val="0"/>
          <c:showVal val="1"/>
          <c:showCatName val="0"/>
          <c:showSerName val="0"/>
          <c:showPercent val="0"/>
          <c:showBubbleSize val="0"/>
        </c:dLbls>
        <c:gapWidth val="150"/>
        <c:shape val="box"/>
        <c:axId val="950652047"/>
        <c:axId val="950649167"/>
        <c:axId val="0"/>
        <c:extLst>
          <c:ext xmlns:c15="http://schemas.microsoft.com/office/drawing/2012/chart" uri="{02D57815-91ED-43cb-92C2-25804820EDAC}">
            <c15:filteredBarSeries>
              <c15:ser>
                <c:idx val="4"/>
                <c:order val="0"/>
                <c:tx>
                  <c:strRef>
                    <c:extLst>
                      <c:ext uri="{02D57815-91ED-43cb-92C2-25804820EDAC}">
                        <c15:formulaRef>
                          <c15:sqref>Consolidado!$B$2</c15:sqref>
                        </c15:formulaRef>
                      </c:ext>
                    </c:extLst>
                    <c:strCache>
                      <c:ptCount val="1"/>
                      <c:pt idx="0">
                        <c:v>% Ideal</c:v>
                      </c:pt>
                    </c:strCache>
                  </c:strRef>
                </c:tx>
                <c:spPr>
                  <a:gradFill rotWithShape="1">
                    <a:gsLst>
                      <a:gs pos="0">
                        <a:schemeClr val="accent1">
                          <a:tint val="83000"/>
                          <a:satMod val="103000"/>
                          <a:lumMod val="102000"/>
                          <a:tint val="94000"/>
                        </a:schemeClr>
                      </a:gs>
                      <a:gs pos="50000">
                        <a:schemeClr val="accent1">
                          <a:tint val="83000"/>
                          <a:satMod val="110000"/>
                          <a:lumMod val="100000"/>
                          <a:shade val="100000"/>
                        </a:schemeClr>
                      </a:gs>
                      <a:gs pos="100000">
                        <a:schemeClr val="accent1">
                          <a:tint val="83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Consolidado!$A$3:$A$6</c15:sqref>
                        </c15:formulaRef>
                      </c:ext>
                    </c:extLst>
                    <c:numCache>
                      <c:formatCode>General</c:formatCode>
                      <c:ptCount val="4"/>
                    </c:numCache>
                  </c:numRef>
                </c:cat>
                <c:val>
                  <c:numRef>
                    <c:extLst>
                      <c:ext uri="{02D57815-91ED-43cb-92C2-25804820EDAC}">
                        <c15:formulaRef>
                          <c15:sqref>Consolidado!$B$3:$B$6</c15:sqref>
                        </c15:formulaRef>
                      </c:ext>
                    </c:extLst>
                    <c:numCache>
                      <c:formatCode>0%</c:formatCode>
                      <c:ptCount val="4"/>
                      <c:pt idx="0">
                        <c:v>0.05</c:v>
                      </c:pt>
                      <c:pt idx="1">
                        <c:v>0.3</c:v>
                      </c:pt>
                      <c:pt idx="2">
                        <c:v>0.3</c:v>
                      </c:pt>
                      <c:pt idx="3">
                        <c:v>0.35</c:v>
                      </c:pt>
                    </c:numCache>
                  </c:numRef>
                </c:val>
                <c:extLst>
                  <c:ext xmlns:c16="http://schemas.microsoft.com/office/drawing/2014/chart" uri="{C3380CC4-5D6E-409C-BE32-E72D297353CC}">
                    <c16:uniqueId val="{00000002-DAAE-40DC-919B-39D8168AF02D}"/>
                  </c:ext>
                </c:extLst>
              </c15:ser>
            </c15:filteredBarSeries>
            <c15:filteredBarSeries>
              <c15:ser>
                <c:idx val="5"/>
                <c:order val="1"/>
                <c:tx>
                  <c:strRef>
                    <c:extLst xmlns:c15="http://schemas.microsoft.com/office/drawing/2012/chart">
                      <c:ext xmlns:c15="http://schemas.microsoft.com/office/drawing/2012/chart" uri="{02D57815-91ED-43cb-92C2-25804820EDAC}">
                        <c15:formulaRef>
                          <c15:sqref>Consolidado!$C$2</c15:sqref>
                        </c15:formulaRef>
                      </c:ext>
                    </c:extLst>
                    <c:strCache>
                      <c:ptCount val="1"/>
                      <c:pt idx="0">
                        <c:v>% Atual</c:v>
                      </c:pt>
                    </c:strCache>
                  </c:strRef>
                </c:tx>
                <c:spPr>
                  <a:gradFill rotWithShape="1">
                    <a:gsLst>
                      <a:gs pos="0">
                        <a:schemeClr val="accent1">
                          <a:tint val="65000"/>
                          <a:satMod val="103000"/>
                          <a:lumMod val="102000"/>
                          <a:tint val="94000"/>
                        </a:schemeClr>
                      </a:gs>
                      <a:gs pos="50000">
                        <a:schemeClr val="accent1">
                          <a:tint val="65000"/>
                          <a:satMod val="110000"/>
                          <a:lumMod val="100000"/>
                          <a:shade val="100000"/>
                        </a:schemeClr>
                      </a:gs>
                      <a:gs pos="100000">
                        <a:schemeClr val="accent1">
                          <a:tint val="65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c:ext xmlns:c15="http://schemas.microsoft.com/office/drawing/2012/chart" uri="{02D57815-91ED-43cb-92C2-25804820EDAC}">
                        <c15:formulaRef>
                          <c15:sqref>Consolidado!$A$3:$A$6</c15:sqref>
                        </c15:formulaRef>
                      </c:ext>
                    </c:extLst>
                    <c:numCache>
                      <c:formatCode>General</c:formatCode>
                      <c:ptCount val="4"/>
                    </c:numCache>
                  </c:numRef>
                </c:cat>
                <c:val>
                  <c:numRef>
                    <c:extLst xmlns:c15="http://schemas.microsoft.com/office/drawing/2012/chart">
                      <c:ext xmlns:c15="http://schemas.microsoft.com/office/drawing/2012/chart" uri="{02D57815-91ED-43cb-92C2-25804820EDAC}">
                        <c15:formulaRef>
                          <c15:sqref>Consolidado!$C$3:$C$6</c15:sqref>
                        </c15:formulaRef>
                      </c:ext>
                    </c:extLst>
                    <c:numCache>
                      <c:formatCode>0%</c:formatCode>
                      <c:ptCount val="4"/>
                      <c:pt idx="0">
                        <c:v>0</c:v>
                      </c:pt>
                      <c:pt idx="1">
                        <c:v>0</c:v>
                      </c:pt>
                      <c:pt idx="2">
                        <c:v>0</c:v>
                      </c:pt>
                      <c:pt idx="3">
                        <c:v>0</c:v>
                      </c:pt>
                    </c:numCache>
                  </c:numRef>
                </c:val>
                <c:extLst xmlns:c15="http://schemas.microsoft.com/office/drawing/2012/chart">
                  <c:ext xmlns:c16="http://schemas.microsoft.com/office/drawing/2014/chart" uri="{C3380CC4-5D6E-409C-BE32-E72D297353CC}">
                    <c16:uniqueId val="{00000003-DAAE-40DC-919B-39D8168AF02D}"/>
                  </c:ext>
                </c:extLst>
              </c15:ser>
            </c15:filteredBarSeries>
          </c:ext>
        </c:extLst>
      </c:bar3DChart>
      <c:catAx>
        <c:axId val="9506520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0649167"/>
        <c:crosses val="autoZero"/>
        <c:auto val="1"/>
        <c:lblAlgn val="ctr"/>
        <c:lblOffset val="100"/>
        <c:noMultiLvlLbl val="0"/>
      </c:catAx>
      <c:valAx>
        <c:axId val="950649167"/>
        <c:scaling>
          <c:orientation val="minMax"/>
        </c:scaling>
        <c:delete val="0"/>
        <c:axPos val="l"/>
        <c:majorGridlines>
          <c:spPr>
            <a:ln w="9525" cap="flat" cmpd="sng" algn="ctr">
              <a:solidFill>
                <a:schemeClr val="dk1">
                  <a:lumMod val="50000"/>
                  <a:lumOff val="50000"/>
                </a:schemeClr>
              </a:solidFill>
              <a:round/>
            </a:ln>
            <a:effectLst/>
          </c:spPr>
        </c:majorGridlines>
        <c:numFmt formatCode="&quot;R$&quot;#,##0.00_);[Red]\(&quot;R$&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950652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1"/>
          <c:tx>
            <c:strRef>
              <c:f>Consolidado!$C$2</c:f>
              <c:strCache>
                <c:ptCount val="1"/>
                <c:pt idx="0">
                  <c:v>% Atual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BAE-4FD0-A5A0-E4F30B752EF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BAE-4FD0-A5A0-E4F30B752EF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BAE-4FD0-A5A0-E4F30B752EF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0BAE-4FD0-A5A0-E4F30B752EF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pt-BR"/>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Consolidado!$A$3:$A$6</c:f>
              <c:numCache>
                <c:formatCode>General</c:formatCode>
                <c:ptCount val="4"/>
              </c:numCache>
            </c:numRef>
          </c:cat>
          <c:val>
            <c:numRef>
              <c:f>Consolidado!$C$3:$C$6</c:f>
              <c:numCache>
                <c:formatCode>0%</c:formatCode>
                <c:ptCount val="4"/>
                <c:pt idx="0">
                  <c:v>0</c:v>
                </c:pt>
                <c:pt idx="1">
                  <c:v>0</c:v>
                </c:pt>
                <c:pt idx="2">
                  <c:v>0</c:v>
                </c:pt>
                <c:pt idx="3">
                  <c:v>0</c:v>
                </c:pt>
              </c:numCache>
            </c:numRef>
          </c:val>
          <c:extLst>
            <c:ext xmlns:c16="http://schemas.microsoft.com/office/drawing/2014/chart" uri="{C3380CC4-5D6E-409C-BE32-E72D297353CC}">
              <c16:uniqueId val="{0000000A-0BAE-4FD0-A5A0-E4F30B752EF8}"/>
            </c:ext>
          </c:extLst>
        </c:ser>
        <c:dLbls>
          <c:showLegendKey val="0"/>
          <c:showVal val="0"/>
          <c:showCatName val="0"/>
          <c:showSerName val="0"/>
          <c:showPercent val="1"/>
          <c:showBubbleSize val="0"/>
          <c:showLeaderLines val="1"/>
        </c:dLbls>
        <c:extLst>
          <c:ext xmlns:c15="http://schemas.microsoft.com/office/drawing/2012/chart" uri="{02D57815-91ED-43cb-92C2-25804820EDAC}">
            <c15:filteredPieSeries>
              <c15:ser>
                <c:idx val="0"/>
                <c:order val="0"/>
                <c:tx>
                  <c:strRef>
                    <c:extLst>
                      <c:ext uri="{02D57815-91ED-43cb-92C2-25804820EDAC}">
                        <c15:formulaRef>
                          <c15:sqref>Consolidado!$B$2</c15:sqref>
                        </c15:formulaRef>
                      </c:ext>
                    </c:extLst>
                    <c:strCache>
                      <c:ptCount val="1"/>
                      <c:pt idx="0">
                        <c:v>% Ideal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C-0BAE-4FD0-A5A0-E4F30B752EF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E-0BAE-4FD0-A5A0-E4F30B752EF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0-0BAE-4FD0-A5A0-E4F30B752EF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2-0BAE-4FD0-A5A0-E4F30B752EF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uri="{CE6537A1-D6FC-4f65-9D91-7224C49458BB}"/>
                  </c:extLst>
                </c:dLbls>
                <c:cat>
                  <c:numRef>
                    <c:extLst>
                      <c:ext uri="{02D57815-91ED-43cb-92C2-25804820EDAC}">
                        <c15:formulaRef>
                          <c15:sqref>Consolidado!$A$3:$A$6</c15:sqref>
                        </c15:formulaRef>
                      </c:ext>
                    </c:extLst>
                    <c:numCache>
                      <c:formatCode>General</c:formatCode>
                      <c:ptCount val="4"/>
                    </c:numCache>
                  </c:numRef>
                </c:cat>
                <c:val>
                  <c:numRef>
                    <c:extLst>
                      <c:ext uri="{02D57815-91ED-43cb-92C2-25804820EDAC}">
                        <c15:formulaRef>
                          <c15:sqref>Consolidado!$B$3:$B$6</c15:sqref>
                        </c15:formulaRef>
                      </c:ext>
                    </c:extLst>
                    <c:numCache>
                      <c:formatCode>0%</c:formatCode>
                      <c:ptCount val="4"/>
                      <c:pt idx="0">
                        <c:v>0.05</c:v>
                      </c:pt>
                      <c:pt idx="1">
                        <c:v>0.3</c:v>
                      </c:pt>
                      <c:pt idx="2">
                        <c:v>0.3</c:v>
                      </c:pt>
                      <c:pt idx="3">
                        <c:v>0.35</c:v>
                      </c:pt>
                    </c:numCache>
                  </c:numRef>
                </c:val>
                <c:extLst>
                  <c:ext xmlns:c16="http://schemas.microsoft.com/office/drawing/2014/chart" uri="{C3380CC4-5D6E-409C-BE32-E72D297353CC}">
                    <c16:uniqueId val="{00000015-0BAE-4FD0-A5A0-E4F30B752EF8}"/>
                  </c:ext>
                </c:extLst>
              </c15:ser>
            </c15:filteredPieSeries>
          </c:ext>
        </c:extLst>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2"/>
          <c:tx>
            <c:strRef>
              <c:f>Fechamento!$D$1</c:f>
              <c:strCache>
                <c:ptCount val="1"/>
                <c:pt idx="0">
                  <c:v>Rantabilidade</c:v>
                </c:pt>
              </c:strCache>
            </c:strRef>
          </c:tx>
          <c:spPr>
            <a:ln w="22225" cap="rnd">
              <a:solidFill>
                <a:schemeClr val="accent3"/>
              </a:solidFill>
            </a:ln>
            <a:effectLst>
              <a:glow rad="139700">
                <a:schemeClr val="accent3">
                  <a:satMod val="175000"/>
                  <a:alpha val="14000"/>
                </a:schemeClr>
              </a:glow>
            </a:effectLst>
          </c:spPr>
          <c:marker>
            <c:symbol val="none"/>
          </c:marker>
          <c:dLbls>
            <c:delete val="1"/>
          </c:dLbls>
          <c:cat>
            <c:numRef>
              <c:f>Fechamento!$A$2:$A$27</c:f>
              <c:numCache>
                <c:formatCode>mmm/yyyy</c:formatCode>
                <c:ptCount val="26"/>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numCache>
            </c:numRef>
          </c:cat>
          <c:val>
            <c:numRef>
              <c:f>Fechamento!$D$2:$D$27</c:f>
              <c:numCache>
                <c:formatCode>0.00%</c:formatCode>
                <c:ptCount val="26"/>
                <c:pt idx="0">
                  <c:v>0</c:v>
                </c:pt>
                <c:pt idx="1">
                  <c:v>1.1200000000000099E-2</c:v>
                </c:pt>
                <c:pt idx="2">
                  <c:v>2.0399999999999974E-2</c:v>
                </c:pt>
                <c:pt idx="3">
                  <c:v>3.2100000000000017E-2</c:v>
                </c:pt>
                <c:pt idx="4">
                  <c:v>4.1299999999999892E-2</c:v>
                </c:pt>
                <c:pt idx="5">
                  <c:v>5.2499999999999991E-2</c:v>
                </c:pt>
                <c:pt idx="6">
                  <c:v>6.3200000000000145E-2</c:v>
                </c:pt>
                <c:pt idx="7">
                  <c:v>7.3900000000000077E-2</c:v>
                </c:pt>
                <c:pt idx="8">
                  <c:v>8.5299999999999931E-2</c:v>
                </c:pt>
                <c:pt idx="9">
                  <c:v>9.4999999999999973E-2</c:v>
                </c:pt>
                <c:pt idx="10">
                  <c:v>0.10499999999999998</c:v>
                </c:pt>
                <c:pt idx="11">
                  <c:v>0.11420000000000008</c:v>
                </c:pt>
                <c:pt idx="12">
                  <c:v>0.12309999999999999</c:v>
                </c:pt>
                <c:pt idx="13">
                  <c:v>0.13280000000000003</c:v>
                </c:pt>
                <c:pt idx="14">
                  <c:v>0.14080000000000004</c:v>
                </c:pt>
                <c:pt idx="15">
                  <c:v>0.14910000000000001</c:v>
                </c:pt>
                <c:pt idx="16">
                  <c:v>0.15799999999999992</c:v>
                </c:pt>
                <c:pt idx="17">
                  <c:v>0.16630000000000011</c:v>
                </c:pt>
                <c:pt idx="18">
                  <c:v>0.17419999999999991</c:v>
                </c:pt>
                <c:pt idx="19">
                  <c:v>0.18330000000000002</c:v>
                </c:pt>
                <c:pt idx="20">
                  <c:v>0.19200000000000017</c:v>
                </c:pt>
                <c:pt idx="21">
                  <c:v>0.20039999999999991</c:v>
                </c:pt>
                <c:pt idx="22">
                  <c:v>0.2097</c:v>
                </c:pt>
                <c:pt idx="23">
                  <c:v>0.21760000000000002</c:v>
                </c:pt>
                <c:pt idx="24">
                  <c:v>0.22689999999999988</c:v>
                </c:pt>
                <c:pt idx="25">
                  <c:v>0.2278</c:v>
                </c:pt>
              </c:numCache>
            </c:numRef>
          </c:val>
          <c:smooth val="0"/>
          <c:extLst>
            <c:ext xmlns:c16="http://schemas.microsoft.com/office/drawing/2014/chart" uri="{C3380CC4-5D6E-409C-BE32-E72D297353CC}">
              <c16:uniqueId val="{00000000-1B8A-4FB2-9E24-A930A7CA744F}"/>
            </c:ext>
          </c:extLst>
        </c:ser>
        <c:ser>
          <c:idx val="3"/>
          <c:order val="3"/>
          <c:tx>
            <c:strRef>
              <c:f>Fechamento!$E$1</c:f>
              <c:strCache>
                <c:ptCount val="1"/>
                <c:pt idx="0">
                  <c:v>CDI</c:v>
                </c:pt>
              </c:strCache>
            </c:strRef>
          </c:tx>
          <c:spPr>
            <a:ln w="22225" cap="rnd">
              <a:solidFill>
                <a:schemeClr val="accent4"/>
              </a:solidFill>
            </a:ln>
            <a:effectLst>
              <a:glow rad="139700">
                <a:schemeClr val="accent4">
                  <a:satMod val="175000"/>
                  <a:alpha val="14000"/>
                </a:schemeClr>
              </a:glow>
            </a:effectLst>
          </c:spPr>
          <c:marker>
            <c:symbol val="none"/>
          </c:marker>
          <c:dLbls>
            <c:delete val="1"/>
          </c:dLbls>
          <c:cat>
            <c:numRef>
              <c:f>Fechamento!$A$2:$A$27</c:f>
              <c:numCache>
                <c:formatCode>mmm/yyyy</c:formatCode>
                <c:ptCount val="26"/>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numCache>
            </c:numRef>
          </c:cat>
          <c:val>
            <c:numRef>
              <c:f>Fechamento!$E$2:$E$27</c:f>
              <c:numCache>
                <c:formatCode>0.00%</c:formatCode>
                <c:ptCount val="26"/>
                <c:pt idx="0">
                  <c:v>0</c:v>
                </c:pt>
                <c:pt idx="1">
                  <c:v>1.1200000000000002E-2</c:v>
                </c:pt>
                <c:pt idx="2">
                  <c:v>2.0400000000000001E-2</c:v>
                </c:pt>
                <c:pt idx="3">
                  <c:v>3.2100000000000004E-2</c:v>
                </c:pt>
                <c:pt idx="4">
                  <c:v>4.1300000000000003E-2</c:v>
                </c:pt>
                <c:pt idx="5">
                  <c:v>5.2500000000000005E-2</c:v>
                </c:pt>
                <c:pt idx="6">
                  <c:v>6.3200000000000006E-2</c:v>
                </c:pt>
                <c:pt idx="7">
                  <c:v>7.3900000000000007E-2</c:v>
                </c:pt>
                <c:pt idx="8">
                  <c:v>8.5300000000000001E-2</c:v>
                </c:pt>
                <c:pt idx="9">
                  <c:v>9.5000000000000001E-2</c:v>
                </c:pt>
                <c:pt idx="10">
                  <c:v>0.105</c:v>
                </c:pt>
                <c:pt idx="11">
                  <c:v>0.1142</c:v>
                </c:pt>
                <c:pt idx="12">
                  <c:v>0.1231</c:v>
                </c:pt>
                <c:pt idx="13">
                  <c:v>0.1328</c:v>
                </c:pt>
                <c:pt idx="14">
                  <c:v>0.14080000000000001</c:v>
                </c:pt>
                <c:pt idx="15">
                  <c:v>0.14910000000000001</c:v>
                </c:pt>
                <c:pt idx="16">
                  <c:v>0.158</c:v>
                </c:pt>
                <c:pt idx="17">
                  <c:v>0.1663</c:v>
                </c:pt>
                <c:pt idx="18">
                  <c:v>0.17419999999999999</c:v>
                </c:pt>
                <c:pt idx="19">
                  <c:v>0.18329999999999999</c:v>
                </c:pt>
                <c:pt idx="20">
                  <c:v>0.192</c:v>
                </c:pt>
                <c:pt idx="21">
                  <c:v>0.20039999999999999</c:v>
                </c:pt>
                <c:pt idx="22">
                  <c:v>0.2097</c:v>
                </c:pt>
                <c:pt idx="23">
                  <c:v>0.21759999999999999</c:v>
                </c:pt>
                <c:pt idx="24">
                  <c:v>0.22689999999999999</c:v>
                </c:pt>
                <c:pt idx="25">
                  <c:v>0.2278</c:v>
                </c:pt>
              </c:numCache>
            </c:numRef>
          </c:val>
          <c:smooth val="0"/>
          <c:extLst>
            <c:ext xmlns:c16="http://schemas.microsoft.com/office/drawing/2014/chart" uri="{C3380CC4-5D6E-409C-BE32-E72D297353CC}">
              <c16:uniqueId val="{00000001-1B8A-4FB2-9E24-A930A7CA744F}"/>
            </c:ext>
          </c:extLst>
        </c:ser>
        <c:dLbls>
          <c:dLblPos val="ctr"/>
          <c:showLegendKey val="0"/>
          <c:showVal val="1"/>
          <c:showCatName val="0"/>
          <c:showSerName val="0"/>
          <c:showPercent val="0"/>
          <c:showBubbleSize val="0"/>
        </c:dLbls>
        <c:smooth val="0"/>
        <c:axId val="1010641487"/>
        <c:axId val="1010631407"/>
        <c:extLst>
          <c:ext xmlns:c15="http://schemas.microsoft.com/office/drawing/2012/chart" uri="{02D57815-91ED-43cb-92C2-25804820EDAC}">
            <c15:filteredLineSeries>
              <c15:ser>
                <c:idx val="0"/>
                <c:order val="0"/>
                <c:tx>
                  <c:strRef>
                    <c:extLst>
                      <c:ext uri="{02D57815-91ED-43cb-92C2-25804820EDAC}">
                        <c15:formulaRef>
                          <c15:sqref>Fechamento!$B$1</c15:sqref>
                        </c15:formulaRef>
                      </c:ext>
                    </c:extLst>
                    <c:strCache>
                      <c:ptCount val="1"/>
                      <c:pt idx="0">
                        <c:v>Valor Atual</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uri="{CE6537A1-D6FC-4f65-9D91-7224C49458BB}">
                      <c15:showLeaderLines val="1"/>
                      <c15:leaderLines>
                        <c:spPr>
                          <a:ln w="9525">
                            <a:solidFill>
                              <a:schemeClr val="lt1">
                                <a:lumMod val="50000"/>
                              </a:schemeClr>
                            </a:solidFill>
                            <a:round/>
                          </a:ln>
                          <a:effectLst/>
                        </c:spPr>
                      </c15:leaderLines>
                    </c:ext>
                  </c:extLst>
                </c:dLbls>
                <c:cat>
                  <c:numRef>
                    <c:extLst>
                      <c:ext uri="{02D57815-91ED-43cb-92C2-25804820EDAC}">
                        <c15:formulaRef>
                          <c15:sqref>Fechamento!$A$2:$A$27</c15:sqref>
                        </c15:formulaRef>
                      </c:ext>
                    </c:extLst>
                    <c:numCache>
                      <c:formatCode>mmm/yyyy</c:formatCode>
                      <c:ptCount val="26"/>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numCache>
                  </c:numRef>
                </c:cat>
                <c:val>
                  <c:numRef>
                    <c:extLst>
                      <c:ext uri="{02D57815-91ED-43cb-92C2-25804820EDAC}">
                        <c15:formulaRef>
                          <c15:sqref>Fechamento!$B$2:$B$27</c15:sqref>
                        </c15:formulaRef>
                      </c:ext>
                    </c:extLst>
                    <c:numCache>
                      <c:formatCode>#,##0.00_ ;[Red]\-#,##0.00\ </c:formatCode>
                      <c:ptCount val="26"/>
                      <c:pt idx="0">
                        <c:v>0</c:v>
                      </c:pt>
                      <c:pt idx="1">
                        <c:v>1011.2</c:v>
                      </c:pt>
                      <c:pt idx="2">
                        <c:v>1224.48</c:v>
                      </c:pt>
                      <c:pt idx="3">
                        <c:v>1444.94</c:v>
                      </c:pt>
                      <c:pt idx="4">
                        <c:v>1666.08</c:v>
                      </c:pt>
                      <c:pt idx="5">
                        <c:v>1894.5</c:v>
                      </c:pt>
                      <c:pt idx="6">
                        <c:v>2126.4</c:v>
                      </c:pt>
                      <c:pt idx="7">
                        <c:v>2362.58</c:v>
                      </c:pt>
                      <c:pt idx="8">
                        <c:v>2604.7199999999998</c:v>
                      </c:pt>
                      <c:pt idx="9">
                        <c:v>2847</c:v>
                      </c:pt>
                      <c:pt idx="10">
                        <c:v>3094</c:v>
                      </c:pt>
                      <c:pt idx="11">
                        <c:v>3342.6</c:v>
                      </c:pt>
                      <c:pt idx="12">
                        <c:v>3593.92</c:v>
                      </c:pt>
                      <c:pt idx="13">
                        <c:v>3851.52</c:v>
                      </c:pt>
                      <c:pt idx="14">
                        <c:v>4106.88</c:v>
                      </c:pt>
                      <c:pt idx="15">
                        <c:v>4366.58</c:v>
                      </c:pt>
                      <c:pt idx="16">
                        <c:v>4632</c:v>
                      </c:pt>
                      <c:pt idx="17">
                        <c:v>4898.46</c:v>
                      </c:pt>
                      <c:pt idx="18">
                        <c:v>5166.4799999999996</c:v>
                      </c:pt>
                      <c:pt idx="19">
                        <c:v>5443.18</c:v>
                      </c:pt>
                      <c:pt idx="20">
                        <c:v>5721.6</c:v>
                      </c:pt>
                      <c:pt idx="21">
                        <c:v>6002</c:v>
                      </c:pt>
                      <c:pt idx="22">
                        <c:v>6290.4400000000005</c:v>
                      </c:pt>
                      <c:pt idx="23">
                        <c:v>6575.04</c:v>
                      </c:pt>
                      <c:pt idx="24">
                        <c:v>6870.6399999999994</c:v>
                      </c:pt>
                      <c:pt idx="25">
                        <c:v>7121.24</c:v>
                      </c:pt>
                    </c:numCache>
                  </c:numRef>
                </c:val>
                <c:smooth val="0"/>
                <c:extLst>
                  <c:ext xmlns:c16="http://schemas.microsoft.com/office/drawing/2014/chart" uri="{C3380CC4-5D6E-409C-BE32-E72D297353CC}">
                    <c16:uniqueId val="{00000002-1B8A-4FB2-9E24-A930A7CA744F}"/>
                  </c:ext>
                </c:extLst>
              </c15:ser>
            </c15:filteredLineSeries>
            <c15:filteredLineSeries>
              <c15:ser>
                <c:idx val="1"/>
                <c:order val="1"/>
                <c:tx>
                  <c:strRef>
                    <c:extLst>
                      <c:ext xmlns:c15="http://schemas.microsoft.com/office/drawing/2012/chart" uri="{02D57815-91ED-43cb-92C2-25804820EDAC}">
                        <c15:formulaRef>
                          <c15:sqref>Fechamento!$C$1</c15:sqref>
                        </c15:formulaRef>
                      </c:ext>
                    </c:extLst>
                    <c:strCache>
                      <c:ptCount val="1"/>
                      <c:pt idx="0">
                        <c:v>Investimento</c:v>
                      </c:pt>
                    </c:strCache>
                  </c:strRef>
                </c:tx>
                <c:spPr>
                  <a:ln w="22225" cap="rnd">
                    <a:solidFill>
                      <a:schemeClr val="accent2"/>
                    </a:solidFill>
                  </a:ln>
                  <a:effectLst>
                    <a:glow rad="139700">
                      <a:schemeClr val="accent2">
                        <a:satMod val="175000"/>
                        <a:alpha val="14000"/>
                      </a:schemeClr>
                    </a:glow>
                  </a:effectLst>
                </c:spPr>
                <c:marker>
                  <c:symbol val="none"/>
                </c:marker>
                <c:dLbls>
                  <c:delete val="1"/>
                </c:dLbls>
                <c:cat>
                  <c:numRef>
                    <c:extLst>
                      <c:ext xmlns:c15="http://schemas.microsoft.com/office/drawing/2012/chart" uri="{02D57815-91ED-43cb-92C2-25804820EDAC}">
                        <c15:formulaRef>
                          <c15:sqref>Fechamento!$A$2:$A$27</c15:sqref>
                        </c15:formulaRef>
                      </c:ext>
                    </c:extLst>
                    <c:numCache>
                      <c:formatCode>mmm/yyyy</c:formatCode>
                      <c:ptCount val="26"/>
                      <c:pt idx="0">
                        <c:v>44896</c:v>
                      </c:pt>
                      <c:pt idx="1">
                        <c:v>44927</c:v>
                      </c:pt>
                      <c:pt idx="2">
                        <c:v>44958</c:v>
                      </c:pt>
                      <c:pt idx="3">
                        <c:v>44986</c:v>
                      </c:pt>
                      <c:pt idx="4">
                        <c:v>45017</c:v>
                      </c:pt>
                      <c:pt idx="5">
                        <c:v>45047</c:v>
                      </c:pt>
                      <c:pt idx="6">
                        <c:v>45078</c:v>
                      </c:pt>
                      <c:pt idx="7">
                        <c:v>45108</c:v>
                      </c:pt>
                      <c:pt idx="8">
                        <c:v>45139</c:v>
                      </c:pt>
                      <c:pt idx="9">
                        <c:v>45170</c:v>
                      </c:pt>
                      <c:pt idx="10">
                        <c:v>45200</c:v>
                      </c:pt>
                      <c:pt idx="11">
                        <c:v>45231</c:v>
                      </c:pt>
                      <c:pt idx="12">
                        <c:v>45261</c:v>
                      </c:pt>
                      <c:pt idx="13">
                        <c:v>45292</c:v>
                      </c:pt>
                      <c:pt idx="14">
                        <c:v>45323</c:v>
                      </c:pt>
                      <c:pt idx="15">
                        <c:v>45352</c:v>
                      </c:pt>
                      <c:pt idx="16">
                        <c:v>45383</c:v>
                      </c:pt>
                      <c:pt idx="17">
                        <c:v>45413</c:v>
                      </c:pt>
                      <c:pt idx="18">
                        <c:v>45444</c:v>
                      </c:pt>
                      <c:pt idx="19">
                        <c:v>45474</c:v>
                      </c:pt>
                      <c:pt idx="20">
                        <c:v>45505</c:v>
                      </c:pt>
                      <c:pt idx="21">
                        <c:v>45536</c:v>
                      </c:pt>
                      <c:pt idx="22">
                        <c:v>45566</c:v>
                      </c:pt>
                      <c:pt idx="23">
                        <c:v>45597</c:v>
                      </c:pt>
                      <c:pt idx="24">
                        <c:v>45627</c:v>
                      </c:pt>
                      <c:pt idx="25">
                        <c:v>45658</c:v>
                      </c:pt>
                    </c:numCache>
                  </c:numRef>
                </c:cat>
                <c:val>
                  <c:numRef>
                    <c:extLst>
                      <c:ext xmlns:c15="http://schemas.microsoft.com/office/drawing/2012/chart" uri="{02D57815-91ED-43cb-92C2-25804820EDAC}">
                        <c15:formulaRef>
                          <c15:sqref>Fechamento!$C$2:$C$27</c15:sqref>
                        </c15:formulaRef>
                      </c:ext>
                    </c:extLst>
                    <c:numCache>
                      <c:formatCode>#,##0.00_ ;[Red]\-#,##0.00\ </c:formatCode>
                      <c:ptCount val="26"/>
                      <c:pt idx="0">
                        <c:v>0</c:v>
                      </c:pt>
                      <c:pt idx="1">
                        <c:v>1000</c:v>
                      </c:pt>
                      <c:pt idx="2">
                        <c:v>1200</c:v>
                      </c:pt>
                      <c:pt idx="3">
                        <c:v>1400</c:v>
                      </c:pt>
                      <c:pt idx="4">
                        <c:v>1600</c:v>
                      </c:pt>
                      <c:pt idx="5">
                        <c:v>1800</c:v>
                      </c:pt>
                      <c:pt idx="6">
                        <c:v>2000</c:v>
                      </c:pt>
                      <c:pt idx="7">
                        <c:v>2200</c:v>
                      </c:pt>
                      <c:pt idx="8">
                        <c:v>2400</c:v>
                      </c:pt>
                      <c:pt idx="9">
                        <c:v>2600</c:v>
                      </c:pt>
                      <c:pt idx="10">
                        <c:v>2800</c:v>
                      </c:pt>
                      <c:pt idx="11">
                        <c:v>3000</c:v>
                      </c:pt>
                      <c:pt idx="12">
                        <c:v>3200</c:v>
                      </c:pt>
                      <c:pt idx="13">
                        <c:v>3400</c:v>
                      </c:pt>
                      <c:pt idx="14">
                        <c:v>3600</c:v>
                      </c:pt>
                      <c:pt idx="15">
                        <c:v>3800</c:v>
                      </c:pt>
                      <c:pt idx="16">
                        <c:v>4000</c:v>
                      </c:pt>
                      <c:pt idx="17">
                        <c:v>4200</c:v>
                      </c:pt>
                      <c:pt idx="18">
                        <c:v>4400</c:v>
                      </c:pt>
                      <c:pt idx="19">
                        <c:v>4600</c:v>
                      </c:pt>
                      <c:pt idx="20">
                        <c:v>4800</c:v>
                      </c:pt>
                      <c:pt idx="21">
                        <c:v>5000</c:v>
                      </c:pt>
                      <c:pt idx="22">
                        <c:v>5200</c:v>
                      </c:pt>
                      <c:pt idx="23">
                        <c:v>5400</c:v>
                      </c:pt>
                      <c:pt idx="24">
                        <c:v>5600</c:v>
                      </c:pt>
                      <c:pt idx="25">
                        <c:v>5800</c:v>
                      </c:pt>
                    </c:numCache>
                  </c:numRef>
                </c:val>
                <c:smooth val="0"/>
                <c:extLst xmlns:c15="http://schemas.microsoft.com/office/drawing/2012/chart">
                  <c:ext xmlns:c16="http://schemas.microsoft.com/office/drawing/2014/chart" uri="{C3380CC4-5D6E-409C-BE32-E72D297353CC}">
                    <c16:uniqueId val="{00000003-1B8A-4FB2-9E24-A930A7CA744F}"/>
                  </c:ext>
                </c:extLst>
              </c15:ser>
            </c15:filteredLineSeries>
          </c:ext>
        </c:extLst>
      </c:lineChart>
      <c:dateAx>
        <c:axId val="10106414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mmm/yyyy" sourceLinked="1"/>
        <c:majorTickMark val="out"/>
        <c:minorTickMark val="none"/>
        <c:tickLblPos val="nextTo"/>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10631407"/>
        <c:crosses val="autoZero"/>
        <c:auto val="1"/>
        <c:lblOffset val="100"/>
        <c:baseTimeUnit val="months"/>
      </c:dateAx>
      <c:valAx>
        <c:axId val="101063140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crossAx val="101064148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pt-BR"/>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a:t>EVOLUÇÃO DIVIDENDOS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barChart>
        <c:barDir val="col"/>
        <c:grouping val="stacked"/>
        <c:varyColors val="0"/>
        <c:ser>
          <c:idx val="1"/>
          <c:order val="0"/>
          <c:tx>
            <c:strRef>
              <c:f>Proventos!$H$4</c:f>
              <c:strCache>
                <c:ptCount val="1"/>
                <c:pt idx="0">
                  <c:v>FII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Proventos!$G$5:$G$48</c:f>
              <c:numCache>
                <c:formatCode>mm/yyyy</c:formatCode>
                <c:ptCount val="44"/>
                <c:pt idx="0">
                  <c:v>45658</c:v>
                </c:pt>
              </c:numCache>
            </c:numRef>
          </c:cat>
          <c:val>
            <c:numRef>
              <c:f>Proventos!$H$5:$H$48</c:f>
              <c:numCache>
                <c:formatCode>_("R$"* #,##0.00_);_("R$"* \(#,##0.00\);_("R$"* "-"??_);_(@_)</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10-9EE6-4C77-9884-012630620192}"/>
            </c:ext>
          </c:extLst>
        </c:ser>
        <c:ser>
          <c:idx val="2"/>
          <c:order val="1"/>
          <c:tx>
            <c:strRef>
              <c:f>Proventos!$I$4</c:f>
              <c:strCache>
                <c:ptCount val="1"/>
                <c:pt idx="0">
                  <c:v>AÇÃO</c:v>
                </c:pt>
              </c:strCache>
            </c:strRef>
          </c:tx>
          <c:spPr>
            <a:solidFill>
              <a:srgbClr val="7030A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Proventos!$G$5:$G$48</c:f>
              <c:numCache>
                <c:formatCode>mm/yyyy</c:formatCode>
                <c:ptCount val="44"/>
                <c:pt idx="0">
                  <c:v>45658</c:v>
                </c:pt>
              </c:numCache>
            </c:numRef>
          </c:cat>
          <c:val>
            <c:numRef>
              <c:f>Proventos!$I$5:$I$48</c:f>
              <c:numCache>
                <c:formatCode>_("R$"* #,##0.00_);_("R$"* \(#,##0.00\);_("R$"* "-"??_);_(@_)</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11-9EE6-4C77-9884-012630620192}"/>
            </c:ext>
          </c:extLst>
        </c:ser>
        <c:ser>
          <c:idx val="0"/>
          <c:order val="2"/>
          <c:tx>
            <c:strRef>
              <c:f>Proventos!$J$4</c:f>
              <c:strCache>
                <c:ptCount val="1"/>
                <c:pt idx="0">
                  <c:v>EXTERIOR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Proventos!$G$5:$G$48</c:f>
              <c:numCache>
                <c:formatCode>mm/yyyy</c:formatCode>
                <c:ptCount val="44"/>
                <c:pt idx="0">
                  <c:v>45658</c:v>
                </c:pt>
              </c:numCache>
            </c:numRef>
          </c:cat>
          <c:val>
            <c:numRef>
              <c:f>Proventos!$J$5:$J$48</c:f>
              <c:numCache>
                <c:formatCode>_("R$"* #,##0.00_);_("R$"* \(#,##0.00\);_("R$"* "-"??_);_(@_)</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3D-9EE6-4C77-9884-012630620192}"/>
            </c:ext>
          </c:extLst>
        </c:ser>
        <c:dLbls>
          <c:showLegendKey val="0"/>
          <c:showVal val="0"/>
          <c:showCatName val="0"/>
          <c:showSerName val="0"/>
          <c:showPercent val="0"/>
          <c:showBubbleSize val="0"/>
        </c:dLbls>
        <c:gapWidth val="150"/>
        <c:overlap val="100"/>
        <c:axId val="472102424"/>
        <c:axId val="472107672"/>
      </c:barChart>
      <c:valAx>
        <c:axId val="472107672"/>
        <c:scaling>
          <c:orientation val="minMax"/>
        </c:scaling>
        <c:delete val="0"/>
        <c:axPos val="r"/>
        <c:majorGridlines>
          <c:spPr>
            <a:ln w="9525" cap="flat" cmpd="sng" algn="ctr">
              <a:solidFill>
                <a:schemeClr val="lt1">
                  <a:lumMod val="95000"/>
                  <a:alpha val="10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472102424"/>
        <c:crosses val="max"/>
        <c:crossBetween val="between"/>
      </c:valAx>
      <c:dateAx>
        <c:axId val="472102424"/>
        <c:scaling>
          <c:orientation val="minMax"/>
        </c:scaling>
        <c:delete val="0"/>
        <c:axPos val="b"/>
        <c:numFmt formatCode="mm/yyyy"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47210767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Movimenta&#231;&#245;es!A1"/><Relationship Id="rId7" Type="http://schemas.openxmlformats.org/officeDocument/2006/relationships/image" Target="../media/image3.png"/><Relationship Id="rId12"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Rebalanceamento!A1"/><Relationship Id="rId11" Type="http://schemas.openxmlformats.org/officeDocument/2006/relationships/image" Target="../media/image6.svg"/><Relationship Id="rId5" Type="http://schemas.openxmlformats.org/officeDocument/2006/relationships/image" Target="../media/image2.svg"/><Relationship Id="rId10" Type="http://schemas.openxmlformats.org/officeDocument/2006/relationships/image" Target="../media/image5.png"/><Relationship Id="rId4" Type="http://schemas.openxmlformats.org/officeDocument/2006/relationships/image" Target="../media/image1.png"/><Relationship Id="rId9" Type="http://schemas.openxmlformats.org/officeDocument/2006/relationships/hyperlink" Target="#Portfolio!A1"/></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209550</xdr:colOff>
          <xdr:row>0</xdr:row>
          <xdr:rowOff>161925</xdr:rowOff>
        </xdr:from>
        <xdr:to>
          <xdr:col>15</xdr:col>
          <xdr:colOff>1143000</xdr:colOff>
          <xdr:row>2</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 Tudo</a:t>
              </a:r>
            </a:p>
          </xdr:txBody>
        </xdr:sp>
        <xdr:clientData fPrintsWithSheet="0"/>
      </xdr:twoCellAnchor>
    </mc:Choice>
    <mc:Fallback/>
  </mc:AlternateContent>
  <xdr:twoCellAnchor>
    <xdr:from>
      <xdr:col>0</xdr:col>
      <xdr:colOff>190500</xdr:colOff>
      <xdr:row>7</xdr:row>
      <xdr:rowOff>152401</xdr:rowOff>
    </xdr:from>
    <xdr:to>
      <xdr:col>8</xdr:col>
      <xdr:colOff>295274</xdr:colOff>
      <xdr:row>19</xdr:row>
      <xdr:rowOff>57150</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571500</xdr:colOff>
      <xdr:row>11</xdr:row>
      <xdr:rowOff>152399</xdr:rowOff>
    </xdr:from>
    <xdr:to>
      <xdr:col>14</xdr:col>
      <xdr:colOff>419100</xdr:colOff>
      <xdr:row>38</xdr:row>
      <xdr:rowOff>76199</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342900</xdr:colOff>
      <xdr:row>9</xdr:row>
      <xdr:rowOff>0</xdr:rowOff>
    </xdr:from>
    <xdr:to>
      <xdr:col>15</xdr:col>
      <xdr:colOff>1062900</xdr:colOff>
      <xdr:row>13</xdr:row>
      <xdr:rowOff>72300</xdr:rowOff>
    </xdr:to>
    <xdr:pic>
      <xdr:nvPicPr>
        <xdr:cNvPr id="4" name="Gráfico 3" descr="Gráfico de barras com tendência ascendente">
          <a:hlinkClick xmlns:r="http://schemas.openxmlformats.org/officeDocument/2006/relationships" r:id="rId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2287250" y="1695450"/>
          <a:ext cx="720000" cy="72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266700</xdr:colOff>
      <xdr:row>14</xdr:row>
      <xdr:rowOff>123825</xdr:rowOff>
    </xdr:from>
    <xdr:to>
      <xdr:col>15</xdr:col>
      <xdr:colOff>986700</xdr:colOff>
      <xdr:row>19</xdr:row>
      <xdr:rowOff>34200</xdr:rowOff>
    </xdr:to>
    <xdr:pic>
      <xdr:nvPicPr>
        <xdr:cNvPr id="5" name="Gráfico 4" descr="Peças de xadrez">
          <a:hlinkClick xmlns:r="http://schemas.openxmlformats.org/officeDocument/2006/relationships" r:id="rId6"/>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211050" y="2695575"/>
          <a:ext cx="720000" cy="720000"/>
        </a:xfrm>
        <a:prstGeom prst="rect">
          <a:avLst/>
        </a:prstGeom>
      </xdr:spPr>
    </xdr:pic>
    <xdr:clientData/>
  </xdr:twoCellAnchor>
  <xdr:twoCellAnchor editAs="oneCell">
    <xdr:from>
      <xdr:col>15</xdr:col>
      <xdr:colOff>314325</xdr:colOff>
      <xdr:row>3</xdr:row>
      <xdr:rowOff>95250</xdr:rowOff>
    </xdr:from>
    <xdr:to>
      <xdr:col>15</xdr:col>
      <xdr:colOff>1034325</xdr:colOff>
      <xdr:row>7</xdr:row>
      <xdr:rowOff>34200</xdr:rowOff>
    </xdr:to>
    <xdr:pic>
      <xdr:nvPicPr>
        <xdr:cNvPr id="7" name="Gráfico 6" descr="Seguro">
          <a:hlinkClick xmlns:r="http://schemas.openxmlformats.org/officeDocument/2006/relationships" r:id="rId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2258675" y="628650"/>
          <a:ext cx="720000" cy="720000"/>
        </a:xfrm>
        <a:prstGeom prst="rect">
          <a:avLst/>
        </a:prstGeom>
      </xdr:spPr>
    </xdr:pic>
    <xdr:clientData/>
  </xdr:twoCellAnchor>
  <xdr:twoCellAnchor>
    <xdr:from>
      <xdr:col>0</xdr:col>
      <xdr:colOff>190501</xdr:colOff>
      <xdr:row>19</xdr:row>
      <xdr:rowOff>123825</xdr:rowOff>
    </xdr:from>
    <xdr:to>
      <xdr:col>8</xdr:col>
      <xdr:colOff>295276</xdr:colOff>
      <xdr:row>38</xdr:row>
      <xdr:rowOff>85725</xdr:rowOff>
    </xdr:to>
    <xdr:graphicFrame macro="">
      <xdr:nvGraphicFramePr>
        <xdr:cNvPr id="8" name="Gráfico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16</xdr:col>
          <xdr:colOff>142875</xdr:colOff>
          <xdr:row>0</xdr:row>
          <xdr:rowOff>104775</xdr:rowOff>
        </xdr:from>
        <xdr:to>
          <xdr:col>17</xdr:col>
          <xdr:colOff>466725</xdr:colOff>
          <xdr:row>3</xdr:row>
          <xdr:rowOff>133350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Adicionar Movimentação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1</xdr:row>
          <xdr:rowOff>38100</xdr:rowOff>
        </xdr:from>
        <xdr:to>
          <xdr:col>0</xdr:col>
          <xdr:colOff>942975</xdr:colOff>
          <xdr:row>2</xdr:row>
          <xdr:rowOff>238125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219074</xdr:colOff>
      <xdr:row>3</xdr:row>
      <xdr:rowOff>14286</xdr:rowOff>
    </xdr:from>
    <xdr:to>
      <xdr:col>24</xdr:col>
      <xdr:colOff>504825</xdr:colOff>
      <xdr:row>26</xdr:row>
      <xdr:rowOff>85725</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C8AC8806-9748-4E55-913C-FCBD07ACD4F3}" autoFormatId="16" applyNumberFormats="0" applyBorderFormats="0" applyFontFormats="0" applyPatternFormats="0" applyAlignmentFormats="0" applyWidthHeightFormats="0">
  <queryTableRefresh nextId="15">
    <queryTableFields count="14">
      <queryTableField id="1" name="Ano/Mês" tableColumnId="1"/>
      <queryTableField id="2" name="Jan" tableColumnId="2"/>
      <queryTableField id="3" name="Fev" tableColumnId="3"/>
      <queryTableField id="4" name="Mar" tableColumnId="4"/>
      <queryTableField id="5" name="Abr" tableColumnId="5"/>
      <queryTableField id="6" name="Mai" tableColumnId="6"/>
      <queryTableField id="7" name="Jun" tableColumnId="7"/>
      <queryTableField id="8" name="Jul" tableColumnId="8"/>
      <queryTableField id="9" name="Ago" tableColumnId="9"/>
      <queryTableField id="10" name="Set" tableColumnId="10"/>
      <queryTableField id="11" name="Out" tableColumnId="11"/>
      <queryTableField id="12" name="Nov" tableColumnId="12"/>
      <queryTableField id="13" name="Dez" tableColumnId="13"/>
      <queryTableField id="14" name="Acumulado" tableColumnId="1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88">
  <rv s="0">
    <v>en-US</v>
    <v>avylgh</v>
    <v>268435456</v>
    <v>1</v>
    <v>Powered by Refinitiv</v>
    <v>0</v>
    <v>1</v>
    <v>USD/BRL</v>
    <v>3</v>
    <v>4</v>
    <v>Finance</v>
    <v>5</v>
    <v>6.3139000000000003</v>
    <v>4.8304999999999998</v>
    <v>2.7900000000000001E-2</v>
    <v>4.535E-3</v>
    <v>BRL</v>
    <v>USD</v>
    <v>Currency Pair</v>
    <v>45660.895844907405</v>
    <v>US Dollar/Brazilian Real FX Spot Rate</v>
    <v>6.1519000000000004</v>
    <v>6.1798000000000002</v>
    <v>USDBRL</v>
    <v>USD/BRL</v>
  </rv>
  <rv s="1">
    <v>0</v>
  </rv>
  <rv s="2">
    <v>https://www.bing.com/financeapi/forcetrigger?t=a1w8ec&amp;q=XNYS%3aJNJ&amp;form=skydnc</v>
    <v>Learn more on Bing</v>
  </rv>
  <rv s="3">
    <v>en-US</v>
    <v>a1w8ec</v>
    <v>268435456</v>
    <v>1</v>
    <v>Powered by Refinitiv</v>
    <v>6</v>
    <v>7</v>
    <v>JOHNSON &amp; JOHNSON (XNYS:JNJ)</v>
    <v>8</v>
    <v>9</v>
    <v>Finance</v>
    <v>10</v>
    <v>168.85</v>
    <v>142.75</v>
    <v>0.50700000000000001</v>
    <v>0.17</v>
    <v>-2.0809999999999999E-4</v>
    <v>1.1799999999999998E-3</v>
    <v>-0.03</v>
    <v>USD</v>
    <v>Johnson &amp; Johnson, through its subsidiaries, is engaged in the research and development, manufacture, and sale of a range of products in the healthcare field. The Company's primary focus is products related to human health and well-being. It operates through two segments: Innovative Medicine and MedTech. The Innovative Medicine segment is focused on various therapeutic areas, including immunology, infectious diseases, neuroscience, oncology, pulmonary hypertension, and cardiovascular and metabolic diseases. Products in this segment are distributed directly to retailers, wholesalers, distributors, hospitals, and healthcare professionals for prescription use. The MedTech segment includes a broad portfolio of products used in the orthopedic, surgery, interventional solutions, cardiovascular intervention, and vision fields. The MedTech segment also offers a commercially available intravascular lithotripsy (IVL) platform for coronary artery disease (CAD) and peripheral artery disease (PAD).</v>
    <v>131900</v>
    <v>New York Stock Exchange</v>
    <v>XNYS</v>
    <v>XNYS</v>
    <v>One Johnson &amp; Johnson Plaza, NEW BRUNSWICK, NJ, 08933 US</v>
    <v>144.57499999999999</v>
    <v>Pharmaceuticals</v>
    <v>Stock</v>
    <v>45661.041154976563</v>
    <v>2</v>
    <v>143.62</v>
    <v>347155200000</v>
    <v>JOHNSON &amp; JOHNSON</v>
    <v>JOHNSON &amp; JOHNSON</v>
    <v>144.07</v>
    <v>23.702999999999999</v>
    <v>144.02000000000001</v>
    <v>144.19</v>
    <v>144.16</v>
    <v>2407623000</v>
    <v>JNJ</v>
    <v>JOHNSON &amp; JOHNSON (XNYS:JNJ)</v>
    <v>5879816</v>
    <v>7976109</v>
    <v>1887</v>
  </rv>
  <rv s="1">
    <v>3</v>
  </rv>
  <rv s="2">
    <v>https://www.bing.com/financeapi/forcetrigger?t=a269ec&amp;q=XNYS%3aXOM&amp;form=skydnc</v>
    <v>Learn more on Bing</v>
  </rv>
  <rv s="3">
    <v>en-US</v>
    <v>a269ec</v>
    <v>268435456</v>
    <v>1</v>
    <v>Powered by Refinitiv</v>
    <v>6</v>
    <v>7</v>
    <v>EXXON MOBIL CORPORATION (XNYS:XOM)</v>
    <v>8</v>
    <v>9</v>
    <v>Finance</v>
    <v>11</v>
    <v>126.34</v>
    <v>95.77</v>
    <v>0.87839999999999996</v>
    <v>0.56999999999999995</v>
    <v>1.2979999999999999E-3</v>
    <v>5.3119999999999999E-3</v>
    <v>0.14000000000000001</v>
    <v>USD</v>
    <v>Exxon Mobil Corporation is an international energy and petrochemical company. Its primary businesses include exploration for, and production of, crude oil and natural gas; manufacturing, transport and sale of crude oil, natural gas, petroleum products, petrochemicals, and a variety of specialty products; and pursuit of lower-emission business opportunities including carbon capture and storage, hydrogen, lower-emission fuels and lithium. The Upstream segment explores for and produces crude oil and natural gas. The Energy Products, Chemical Products and Specialty Products segments manufacture and sell petroleum products and petrochemicals. Energy Products include fuels, aromatics, and catalysts and licensing. Its Chemical Products consist of olefins, polyolefins, and intermediates. Its Specialty Products include finished lubricants, synthetics, and elastomers and resins. It also focuses on net-zero greenhouse gas emissions from its operated unconventional operations in the Permian Basin.</v>
    <v>62000</v>
    <v>New York Stock Exchange</v>
    <v>XNYS</v>
    <v>XNYS</v>
    <v>22777 SPRINGWOODS VILLAGE PARKWAY, SPRING, TX, 77389-1425 US</v>
    <v>108.49</v>
    <v>Oil &amp; Gas</v>
    <v>Stock</v>
    <v>45661.041377592184</v>
    <v>5</v>
    <v>107.46</v>
    <v>474054900000</v>
    <v>EXXON MOBIL CORPORATION</v>
    <v>EXXON MOBIL CORPORATION</v>
    <v>108</v>
    <v>13.4514</v>
    <v>107.31</v>
    <v>107.88</v>
    <v>108</v>
    <v>4395095000</v>
    <v>XOM</v>
    <v>EXXON MOBIL CORPORATION (XNYS:XOM)</v>
    <v>14237885</v>
    <v>16125578</v>
    <v>1882</v>
  </rv>
  <rv s="1">
    <v>6</v>
  </rv>
  <rv s="2">
    <v>https://www.bing.com/financeapi/forcetrigger?t=a1zsjc&amp;q=XNYS%3aPG&amp;form=skydnc</v>
    <v>Learn more on Bing</v>
  </rv>
  <rv s="3">
    <v>en-US</v>
    <v>a1zsjc</v>
    <v>268435456</v>
    <v>1</v>
    <v>Powered by Refinitiv</v>
    <v>6</v>
    <v>7</v>
    <v>THE PROCTER &amp; GAMBLE COMPANY (XNYS:PG)</v>
    <v>8</v>
    <v>9</v>
    <v>Finance</v>
    <v>10</v>
    <v>180.43</v>
    <v>146.28</v>
    <v>0.4471</v>
    <v>-0.85</v>
    <v>8.477999999999999E-4</v>
    <v>-5.1209999999999997E-3</v>
    <v>0.14000000000000001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108000</v>
    <v>New York Stock Exchange</v>
    <v>XNYS</v>
    <v>XNYS</v>
    <v>One Procter &amp; Gamble Plaza, CINCINNATI, OH, 45202 US</v>
    <v>166.5</v>
    <v>Personal &amp; Household Products &amp; Services</v>
    <v>Stock</v>
    <v>45661.041324421094</v>
    <v>8</v>
    <v>164.25</v>
    <v>388888000000</v>
    <v>THE PROCTER &amp; GAMBLE COMPANY</v>
    <v>THE PROCTER &amp; GAMBLE COMPANY</v>
    <v>166.25</v>
    <v>28.481000000000002</v>
    <v>165.98</v>
    <v>165.13</v>
    <v>165.27</v>
    <v>2355042000</v>
    <v>PG</v>
    <v>THE PROCTER &amp; GAMBLE COMPANY (XNYS:PG)</v>
    <v>5256807</v>
    <v>6196661</v>
    <v>1905</v>
  </rv>
  <rv s="1">
    <v>9</v>
  </rv>
  <rv s="2">
    <v>https://www.bing.com/financeapi/forcetrigger?t=a1z11h&amp;q=XNYS%3aO&amp;form=skydnc</v>
    <v>Learn more on Bing</v>
  </rv>
  <rv s="3">
    <v>en-US</v>
    <v>a1z11h</v>
    <v>268435456</v>
    <v>1</v>
    <v>Powered by Refinitiv</v>
    <v>6</v>
    <v>7</v>
    <v>REALTY INCOME CORPORATION (XNYS:O)</v>
    <v>8</v>
    <v>9</v>
    <v>Finance</v>
    <v>11</v>
    <v>64.88</v>
    <v>50.65</v>
    <v>1.0049999999999999</v>
    <v>0.68</v>
    <v>2.2520000000000001E-3</v>
    <v>1.2928E-2</v>
    <v>0.12</v>
    <v>USD</v>
    <v>Realty Income Corporation is a real estate investment trust. The Company is engaged in acquiring and managing freestanding commercial properties that generate rental revenue under long-term net lease agreements with its commercial clients. It is engaged in a single business activity, which is the leasing of property to clients, generally on a net basis. That business activity spans various geographic boundaries and includes property types and clients engaged in various industries. The Company owns approximately 15,450 properties across 86 different industries leased to over 1,300 different clients throughout all 50 states, as well as Puerto Rico, the United Kingdom, Spain, Italy, Ireland, France, Germany and Portugal. Its property types include retail, industrial, gaming and others, such as agriculture and office. Its primary industry concentrations include grocery stores, convenience stores, dollar stores, drug stores, home improvement, restaurants-quick service and others.</v>
    <v>418</v>
    <v>New York Stock Exchange</v>
    <v>XNYS</v>
    <v>XNYS</v>
    <v>11995 El Camino Real, SAN DIEGO, CA, 92130 US</v>
    <v>53.308300000000003</v>
    <v>Residential &amp; Commercial REIT</v>
    <v>Stock</v>
    <v>45661.040462291407</v>
    <v>11</v>
    <v>52.54</v>
    <v>46631250000</v>
    <v>REALTY INCOME CORPORATION</v>
    <v>REALTY INCOME CORPORATION</v>
    <v>52.64</v>
    <v>50.694600000000001</v>
    <v>52.6</v>
    <v>53.28</v>
    <v>53.4</v>
    <v>875211100</v>
    <v>O</v>
    <v>REALTY INCOME CORPORATION (XNYS:O)</v>
    <v>4076272</v>
    <v>5267332</v>
    <v>1997</v>
  </rv>
  <rv s="1">
    <v>12</v>
  </rv>
  <rv s="2">
    <v>https://www.bing.com/financeapi/forcetrigger?t=axyhnm&amp;q=XNAS%3aPEP&amp;form=skydnc</v>
    <v>Learn more on Bing</v>
  </rv>
  <rv s="3">
    <v>en-US</v>
    <v>axyhnm</v>
    <v>268435456</v>
    <v>1</v>
    <v>Powered by Refinitiv</v>
    <v>6</v>
    <v>7</v>
    <v>PEPSICO, INC. (XNAS:PEP)</v>
    <v>8</v>
    <v>9</v>
    <v>Finance</v>
    <v>10</v>
    <v>183.41</v>
    <v>149.56</v>
    <v>0.54959999999999998</v>
    <v>-0.56000000000000005</v>
    <v>3.3410000000000004E-4</v>
    <v>-3.7280000000000004E-3</v>
    <v>0.05</v>
    <v>USD</v>
    <v>PepsiCo, Inc. is a beverage and convenient food company. The Company's segments include Frito-Lay North America, which includes its food businesses in the United States and Canada; Quaker Foods North America, which includes its food businesses, such as cereal, rice, pasta and other branded food, in the United States and Canada; PepsiCo Beverages North America, which includes its beverage businesses in the United States and Canada; Latin America, which includes its beverage and convenient food businesses in Latin America; Europe, which includes its beverage and convenient food businesses in Europe; Africa, Middle East and South Asia (AMESA), which includes all of its beverage and convenient food businesses in Africa, the Middle East and South Asia; and Asia Pacific, Australia and New Zealand and China Region (APAC), which includes all of its beverage and convenient food businesses in Asia Pacific, Australia and New Zealand, and China region. Its brands include Lays, Doritos and Cheetos.</v>
    <v>318000</v>
    <v>Nasdaq Stock Market</v>
    <v>XNAS</v>
    <v>XNAS</v>
    <v>700 ANDERSON HILL RD, PURCHASE, NY, 10577 US</v>
    <v>150.96</v>
    <v>Beverages</v>
    <v>Stock</v>
    <v>45661.041223193752</v>
    <v>14</v>
    <v>149.56</v>
    <v>205318200000</v>
    <v>PEPSICO, INC.</v>
    <v>PEPSICO, INC.</v>
    <v>150.96</v>
    <v>22.136800000000001</v>
    <v>150.21</v>
    <v>149.65</v>
    <v>149.69999999999999</v>
    <v>1371989000</v>
    <v>PEP</v>
    <v>PEPSICO, INC. (XNAS:PEP)</v>
    <v>5221639</v>
    <v>6332759</v>
    <v>1986</v>
  </rv>
  <rv s="1">
    <v>15</v>
  </rv>
  <rv s="2">
    <v>https://www.bing.com/financeapi/forcetrigger?t=a25obh&amp;q=XNYS%3aVZ&amp;form=skydnc</v>
    <v>Learn more on Bing</v>
  </rv>
  <rv s="3">
    <v>en-US</v>
    <v>a25obh</v>
    <v>268435456</v>
    <v>1</v>
    <v>Powered by Refinitiv</v>
    <v>6</v>
    <v>7</v>
    <v>VERIZON COMMUNICATIONS INC. (XNYS:VZ)</v>
    <v>8</v>
    <v>9</v>
    <v>Finance</v>
    <v>10</v>
    <v>45.36</v>
    <v>37.56</v>
    <v>0.44319999999999998</v>
    <v>0.05</v>
    <v>2.235E-3</v>
    <v>1.243E-3</v>
    <v>0.09</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brands.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v>
    <v>103900</v>
    <v>New York Stock Exchange</v>
    <v>XNYS</v>
    <v>XNYS</v>
    <v>1095 Avenue Of The Americas, NEW YORK, NY, 10036 US</v>
    <v>40.625</v>
    <v>Telecommunications Services</v>
    <v>Stock</v>
    <v>45660.90681048594</v>
    <v>17</v>
    <v>40.11</v>
    <v>169479500000</v>
    <v>VERIZON COMMUNICATIONS INC.</v>
    <v>VERIZON COMMUNICATIONS INC.</v>
    <v>40.32</v>
    <v>17.353400000000001</v>
    <v>40.21</v>
    <v>40.26</v>
    <v>40.35</v>
    <v>4209626000</v>
    <v>VZ</v>
    <v>VERIZON COMMUNICATIONS INC. (XNYS:VZ)</v>
    <v>15229858</v>
    <v>17347702</v>
    <v>1983</v>
  </rv>
  <rv s="1">
    <v>18</v>
  </rv>
  <rv s="2">
    <v>http://en.wikipedia.org/wiki/Public_domain</v>
    <v>Public domain</v>
  </rv>
  <rv s="2">
    <v>https://en.wikipedia.org/wiki/Microsoft</v>
    <v>Wikipedia</v>
  </rv>
  <rv s="4">
    <v>20</v>
    <v>21</v>
  </rv>
  <rv s="5">
    <v>17</v>
    <v>https://www.bing.com/th?id=AMMS_e6e837c7bf3a77408619758b7447855a&amp;qlt=95</v>
    <v>22</v>
    <v>0</v>
    <v>https://www.bing.com/images/search?form=xlimg&amp;q=microsoft</v>
    <v>Image of MICROSOFT CORPORATION</v>
  </rv>
  <rv s="2">
    <v>https://www.bing.com/financeapi/forcetrigger?t=a1xzim&amp;q=XNAS%3aMSFT&amp;form=skydnc</v>
    <v>Learn more on Bing</v>
  </rv>
  <rv s="6">
    <v>en-US</v>
    <v>a1xzim</v>
    <v>268435456</v>
    <v>1</v>
    <v>Powered by Refinitiv</v>
    <v>12</v>
    <v>13</v>
    <v>MICROSOFT CORPORATION (XNAS:MSFT)</v>
    <v>15</v>
    <v>16</v>
    <v>Finance</v>
    <v>11</v>
    <v>468.35</v>
    <v>366.5</v>
    <v>0.89910000000000001</v>
    <v>4.7699999999999996</v>
    <v>2.9520000000000002E-3</v>
    <v>1.1396E-2</v>
    <v>1.2499</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98052-6399 US</v>
    <v>424.03</v>
    <v>23</v>
    <v>Software &amp; IT Services</v>
    <v>Stock</v>
    <v>45661.041611967186</v>
    <v>24</v>
    <v>419.54</v>
    <v>3147556871350</v>
    <v>MICROSOFT CORPORATION</v>
    <v>MICROSOFT CORPORATION</v>
    <v>421.08</v>
    <v>34.944899999999997</v>
    <v>418.58</v>
    <v>423.35</v>
    <v>424.59989999999999</v>
    <v>7434881000</v>
    <v>MSFT</v>
    <v>MICROSOFT CORPORATION (XNAS:MSFT)</v>
    <v>16662943</v>
    <v>20594719</v>
    <v>1993</v>
  </rv>
  <rv s="1">
    <v>25</v>
  </rv>
  <rv s="2">
    <v>https://www.bing.com/financeapi/forcetrigger?t=a1waa2&amp;q=XNYS%3aJPM&amp;form=skydnc</v>
    <v>Learn more on Bing</v>
  </rv>
  <rv s="3">
    <v>en-US</v>
    <v>a1waa2</v>
    <v>268435456</v>
    <v>1</v>
    <v>Powered by Refinitiv</v>
    <v>6</v>
    <v>7</v>
    <v>JPMORGAN CHASE &amp; CO. (XNYS:JPM)</v>
    <v>8</v>
    <v>9</v>
    <v>Finance</v>
    <v>10</v>
    <v>254.31</v>
    <v>164.3</v>
    <v>1.1019000000000001</v>
    <v>3.28</v>
    <v>1.2740000000000002E-3</v>
    <v>1.3667E-2</v>
    <v>0.31</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316043</v>
    <v>New York Stock Exchange</v>
    <v>XNYS</v>
    <v>XNYS</v>
    <v>383 Madison Avenue, NEW YORK, NY, 10179 US</v>
    <v>244.88</v>
    <v>Banking Services</v>
    <v>Stock</v>
    <v>45661.041488159375</v>
    <v>27</v>
    <v>240.26</v>
    <v>684915915200</v>
    <v>JPMORGAN CHASE &amp; CO.</v>
    <v>JPMORGAN CHASE &amp; CO.</v>
    <v>243.89</v>
    <v>13.532999999999999</v>
    <v>240</v>
    <v>243.28</v>
    <v>243.59</v>
    <v>2815340000</v>
    <v>JPM</v>
    <v>JPMORGAN CHASE &amp; CO. (XNYS:JPM)</v>
    <v>9491053</v>
    <v>8306690</v>
    <v>1968</v>
  </rv>
  <rv s="1">
    <v>28</v>
  </rv>
  <rv s="2">
    <v>https://www.bing.com/financeapi/forcetrigger?t=a22m27&amp;q=ARCX%3aSCHD&amp;form=skydnc</v>
    <v>Learn more on Bing</v>
  </rv>
  <rv s="7">
    <v>en-US</v>
    <v>a22m27</v>
    <v>268435456</v>
    <v>1</v>
    <v>Powered by Refinitiv</v>
    <v>18</v>
    <v>19</v>
    <v>Schwab Str:US Div Eq ETF (ARCX:SCHD)</v>
    <v>20</v>
    <v>21</v>
    <v>Finance</v>
    <v>22</v>
    <v>29.72</v>
    <v>24.97</v>
    <v>0.91290000000000004</v>
    <v>0.18</v>
    <v>1.4469999999999999E-3</v>
    <v>6.6030000000000004E-3</v>
    <v>3.9699999999999999E-2</v>
    <v>USD</v>
    <v>NYSE Arca</v>
    <v>ARCX</v>
    <v>5.9999999999999995E-4</v>
    <v>27.479900000000001</v>
    <v>ETF</v>
    <v>45661.041666700781</v>
    <v>30</v>
    <v>27.2</v>
    <v>65523903292.010002</v>
    <v>Schwab Str:US Div Eq ETF</v>
    <v>27.35</v>
    <v>27.26</v>
    <v>27.44</v>
    <v>27.479700000000001</v>
    <v>SCHD</v>
    <v>Schwab Str:US Div Eq ETF (ARCX:SCHD)</v>
    <v>11470511</v>
    <v>16540839</v>
  </rv>
  <rv s="1">
    <v>31</v>
  </rv>
  <rv s="2">
    <v>https://www.bing.com/financeapi/forcetrigger?t=a25o5r&amp;q=ARCX%3aVYM&amp;form=skydnc</v>
    <v>Learn more on Bing</v>
  </rv>
  <rv s="7">
    <v>en-US</v>
    <v>a25o5r</v>
    <v>268435456</v>
    <v>1</v>
    <v>Powered by Refinitiv</v>
    <v>18</v>
    <v>19</v>
    <v>Vanguard Hi Dv Yld;ETF (ARCX:VYM)</v>
    <v>20</v>
    <v>21</v>
    <v>Finance</v>
    <v>22</v>
    <v>135.07</v>
    <v>109.47</v>
    <v>0.9163</v>
    <v>0.88</v>
    <v>6.2299999999999996E-4</v>
    <v>6.8999999999999999E-3</v>
    <v>0.08</v>
    <v>USD</v>
    <v>NYSE Arca</v>
    <v>ARCX</v>
    <v>5.9999999999999995E-4</v>
    <v>128.58000000000001</v>
    <v>ETF</v>
    <v>45661.041667349222</v>
    <v>33</v>
    <v>127.49</v>
    <v>62020955379</v>
    <v>Vanguard Hi Dv Yld;ETF</v>
    <v>128.06</v>
    <v>127.54</v>
    <v>128.41999999999999</v>
    <v>128.5</v>
    <v>VYM</v>
    <v>Vanguard Hi Dv Yld;ETF (ARCX:VYM)</v>
    <v>1192866</v>
    <v>1326046</v>
  </rv>
  <rv s="1">
    <v>34</v>
  </rv>
  <rv s="2">
    <v>https://www.bing.com/financeapi/forcetrigger?t=aplygh&amp;q=BVMF%3aBBAS3&amp;form=skydnc</v>
    <v>Learn more on Bing</v>
  </rv>
  <rv s="8">
    <v>en-US</v>
    <v>aplygh</v>
    <v>268435456</v>
    <v>1</v>
    <v>Powered by Refinitiv</v>
    <v>23</v>
    <v>24</v>
    <v>Banco do Brasil SA (BVMF:BBAS3)</v>
    <v>8</v>
    <v>25</v>
    <v>Finance</v>
    <v>26</v>
    <v>28.35</v>
    <v>23.68</v>
    <v>1.0256000000000001</v>
    <v>-0.18</v>
    <v>-7.5249999999999996E-3</v>
    <v>BRL</v>
    <v>Banco do Brasil SA is a Brazil-based financial institution (the Bank) primarily engaged in the banking sector. The Bank's activities are divided into five business segments: Banking, which offers deposits, loans and other banking services in the retail, corporate, wholesale and public sectors; Investments, which focuses on the structuring and distribution of debt and equity instruments in Brazilian primary and secondary capital markets; Fund management, which is mainly responsible for the purchase, sale and custody of securities, as well as portfolio management; Insurance, which provides products and services related to life, property and automobile insurance, private pension and capitalization plans, and Electronic payments, which includes services related to administration of credit and debit cards, such as capture, transmission, processing and financial settlement. The Bank operates through numerous subsidiaries in the domestic and international market.</v>
    <v>85953</v>
    <v>B3 - Brazil Stock Exchange</v>
    <v>BVMF</v>
    <v>BVMF</v>
    <v>Saun Quadra 05, Lote B Ed. BB, Asa Norte, BRASILIA, DISTRITO FEDERAL, 70.040-912 BR</v>
    <v>24.06</v>
    <v>Banking Services</v>
    <v>Stock</v>
    <v>45660</v>
    <v>36</v>
    <v>23.68</v>
    <v>137081500000</v>
    <v>Banco do Brasil SA</v>
    <v>Banco do Brasil SA</v>
    <v>23.92</v>
    <v>23.92</v>
    <v>23.74</v>
    <v>5730834000</v>
    <v>BBAS3</v>
    <v>Banco do Brasil SA (BVMF:BBAS3)</v>
    <v>13769200</v>
    <v>21867170</v>
    <v>1808</v>
  </rv>
  <rv s="1">
    <v>37</v>
  </rv>
  <rv s="2">
    <v>https://www.bing.com/financeapi/forcetrigger?t=c1s56h&amp;q=BVMF%3aCXSE3&amp;form=skydnc</v>
    <v>Learn more on Bing</v>
  </rv>
  <rv s="8">
    <v>en-US</v>
    <v>c1s56h</v>
    <v>268435456</v>
    <v>1</v>
    <v>Powered by Refinitiv</v>
    <v>23</v>
    <v>24</v>
    <v>Caixa Seguridade Participacoes SA (BVMF:CXSE3)</v>
    <v>8</v>
    <v>25</v>
    <v>Finance</v>
    <v>26</v>
    <v>16.52</v>
    <v>11.85</v>
    <v>1.0075000000000001</v>
    <v>-0.11</v>
    <v>-7.6280000000000002E-3</v>
    <v>BRL</v>
    <v>Caixa Seguridade Participacoes SA is a Brazil-based holding company that consolidates CAIXA's investments in companies in the insurance, private pension, capitalization, consortium, assistance, and insurance brokerage sectors and operates mainly through the Bancassurance system in CAIXA's distribution network. The Company has the exclusive right to access CAIXA's customer base and to economically exploit the CAIXA brand and its network of own branches, lottery dealers, banking correspondents, Internet banking, ATMs and other distribution channels. The Company is controlled by Caixa Economica Federal.</v>
    <v>131</v>
    <v>B3 - Brazil Stock Exchange</v>
    <v>BVMF</v>
    <v>BVMF</v>
    <v>SAUS Quadra 3 Bloco E, 3 andar, Asa Sul, BRASILIA, DISTRITO FEDERAL, 70.070-030 BR</v>
    <v>14.5</v>
    <v>Insurance</v>
    <v>Stock</v>
    <v>45660</v>
    <v>39</v>
    <v>14.23</v>
    <v>42930000000</v>
    <v>Caixa Seguridade Participacoes SA</v>
    <v>Caixa Seguridade Participacoes SA</v>
    <v>14.42</v>
    <v>14.42</v>
    <v>14.31</v>
    <v>3000000000</v>
    <v>CXSE3</v>
    <v>Caixa Seguridade Participacoes SA (BVMF:CXSE3)</v>
    <v>4563300</v>
    <v>6347360</v>
    <v>2015</v>
  </rv>
  <rv s="1">
    <v>40</v>
  </rv>
  <rv s="2">
    <v>https://www.bing.com/financeapi/forcetrigger?t=apmb7w&amp;q=BVMF%3aCPLE6&amp;form=skydnc</v>
    <v>Learn more on Bing</v>
  </rv>
  <rv s="8">
    <v>en-US</v>
    <v>apmb7w</v>
    <v>268435456</v>
    <v>1</v>
    <v>Powered by Refinitiv</v>
    <v>23</v>
    <v>24</v>
    <v>Energy Company of Parana (BVMF:CPLE6)</v>
    <v>8</v>
    <v>25</v>
    <v>Finance</v>
    <v>26</v>
    <v>10.61</v>
    <v>8.59</v>
    <v>0.80369999999999997</v>
    <v>-0.1</v>
    <v>-1.1001E-2</v>
    <v>BRL</v>
    <v>Companhia Paranaense de Energia, also known as Copel, is a Brazil-based electric utilities company. The Firm’s activities are divided into five segments: Power Generation and Transmission (GeT); Power Distribution and Sales (DiS); Telecommunications (TEL); Gas; and Holding (HOL). The GeT segment includes the generation of electric energy from hydraulic, wind and thermal projects; the transport and transformation of the power generated by the Company; and the construction, operation and maintenance of all power transmission substations and lines. The DiS segment is focused on the distribution and sale of electric energy, and the operation and maintenance of the distribution infrastructure. The TEL segment provides telecommunications services. The Gas segment is involved in the public service of piped natural gas distribution. The HOL segment consists of the participation in other companies. The Company operates in the state of Parana.</v>
    <v>4437</v>
    <v>B3 - Brazil Stock Exchange</v>
    <v>BVMF</v>
    <v>BVMF</v>
    <v>Rua Jose Izidoro Biazetto, 158, Orleans, CURITIBA, PARANA, 81.200-240 BR</v>
    <v>9.1300000000000008</v>
    <v>Electrical Utilities &amp; IPPs</v>
    <v>Stock</v>
    <v>45660</v>
    <v>42</v>
    <v>8.93</v>
    <v>26012550000</v>
    <v>Energy Company of Parana</v>
    <v>Energy Company of Parana</v>
    <v>9.09</v>
    <v>9.09</v>
    <v>8.99</v>
    <v>2982811000</v>
    <v>CPLE6</v>
    <v>Energy Company of Parana (BVMF:CPLE6)</v>
    <v>16119200</v>
    <v>21389340</v>
    <v>1954</v>
  </rv>
  <rv s="1">
    <v>43</v>
  </rv>
  <rv s="2">
    <v>https://www.bing.com/financeapi/forcetrigger?t=apneqh&amp;q=BVMF%3aTAEE11&amp;form=skydnc</v>
    <v>Learn more on Bing</v>
  </rv>
  <rv s="9">
    <v>en-US</v>
    <v>apneqh</v>
    <v>268435456</v>
    <v>1</v>
    <v>Powered by Refinitiv</v>
    <v>27</v>
    <v>28</v>
    <v>TRANSMISSORA ALIANCA UNT (BVMF:TAEE11)</v>
    <v>20</v>
    <v>29</v>
    <v>Finance</v>
    <v>26</v>
    <v>35.81</v>
    <v>31.74</v>
    <v>-0.71</v>
    <v>-2.1566999999999999E-2</v>
    <v>BRL</v>
    <v>B3 - Brazil Stock Exchange</v>
    <v>BVMF</v>
    <v>33</v>
    <v>ETF</v>
    <v>45660</v>
    <v>45</v>
    <v>32.21</v>
    <v>TRANSMISSORA ALIANCA UNT</v>
    <v>33</v>
    <v>32.92</v>
    <v>32.21</v>
    <v>TAEE11</v>
    <v>TRANSMISSORA ALIANCA UNT (BVMF:TAEE11)</v>
    <v>2360800</v>
  </rv>
  <rv s="1">
    <v>46</v>
  </rv>
  <rv s="2">
    <v>https://www.bing.com/financeapi/forcetrigger?t=apnhoc&amp;q=BVMF%3aTRPL4&amp;form=skydnc</v>
    <v>Learn more on Bing</v>
  </rv>
  <rv s="8">
    <v>en-US</v>
    <v>apnhoc</v>
    <v>268435456</v>
    <v>1</v>
    <v>Powered by Refinitiv</v>
    <v>23</v>
    <v>24</v>
    <v>ISA Energia Brasil SA (BVMF:ISAE4)</v>
    <v>8</v>
    <v>25</v>
    <v>Finance</v>
    <v>26</v>
    <v>28.36</v>
    <v>22.55</v>
    <v>0.5978</v>
    <v>-0.35</v>
    <v>-1.5283999999999999E-2</v>
    <v>BRL</v>
    <v>Isa Energia Brasil SA, formerly CTEEP - Companhia de Transmissao de Energia Eletrica Paulista, is a Brazil-based public company which engages in electric utilities industry. The Company is an electric power public service concessionaire, and is principally engaged in the transmission of energy, which requires planning, implementation of infrastructure and the operation and maintenance of subordinated power transmission systems. The Company additionally makes investments, manages research &amp; develops programs related to power transmission and other activities related to the technology available. The Company is present and operates in a range of different states through its subsidiaries and is a part of the companies that form the ISA economic group, which has been operating for decades in the electricity transmission sector in Colombia.</v>
    <v>1600</v>
    <v>B3 - Brazil Stock Exchange</v>
    <v>BVMF</v>
    <v>BVMF</v>
    <v>Av. das Nacoes Unidas 14171 - Torre Crystal, 6 andar, Vila Gertrudes, SAO PAULO, SAO PAULO, 04.794-000 BR</v>
    <v>23</v>
    <v>Electrical Utilities &amp; IPPs</v>
    <v>Stock</v>
    <v>45660</v>
    <v>48</v>
    <v>22.55</v>
    <v>17213830000</v>
    <v>ISA Energia Brasil SA</v>
    <v>ISA Energia Brasil SA</v>
    <v>22.9</v>
    <v>22.9</v>
    <v>22.55</v>
    <v>658883300</v>
    <v>ISAE4</v>
    <v>ISA Energia Brasil SA (BVMF:ISAE4)</v>
    <v>5518100</v>
    <v>4007270</v>
    <v>1999</v>
  </rv>
  <rv s="1">
    <v>49</v>
  </rv>
  <rv s="10">
    <v>en-US</v>
    <v>caze4c</v>
    <v>268435456</v>
    <v>1</v>
    <v>Powered by Refinitiv</v>
    <v>30</v>
    <v>31</v>
    <v>NU RENDA IBOV SMART DIV FDI (BVMF:NDIV11)</v>
    <v>3</v>
    <v>32</v>
    <v>Finance</v>
    <v>26</v>
    <v>118.35</v>
    <v>98.94</v>
    <v>-1.75</v>
    <v>-1.7378000000000001E-2</v>
    <v>BRL</v>
    <v>B3 - Brazil Stock Exchange</v>
    <v>BVMF</v>
    <v>100.7</v>
    <v>ETF</v>
    <v>45660</v>
    <v>98.94</v>
    <v>60710390.270000003</v>
    <v>NU RENDA IBOV SMART DIV FDI</v>
    <v>100.23</v>
    <v>100.7</v>
    <v>98.95</v>
    <v>NDIV11</v>
    <v>NU RENDA IBOV SMART DIV FDI (BVMF:NDIV11)</v>
    <v>17081</v>
  </rv>
  <rv s="1">
    <v>51</v>
  </rv>
  <rv s="2">
    <v>https://www.bing.com/financeapi/forcetrigger?t=apma5r&amp;q=BVMF%3aCMIG4&amp;form=skydnc</v>
    <v>Learn more on Bing</v>
  </rv>
  <rv s="8">
    <v>en-US</v>
    <v>apma5r</v>
    <v>268435456</v>
    <v>1</v>
    <v>Powered by Refinitiv</v>
    <v>23</v>
    <v>24</v>
    <v>ENERGY CO OF MINAS GERAIS (BVMF:CMIG4)</v>
    <v>8</v>
    <v>25</v>
    <v>Finance</v>
    <v>26</v>
    <v>12.34</v>
    <v>7.5</v>
    <v>0.98180000000000001</v>
    <v>-0.24</v>
    <v>-2.1661E-2</v>
    <v>BRL</v>
    <v>Energy of Minas Gerais Co is a Brazil-based holding company. The Company operates in several states in Brazil, through numerous subsidiaries. However, the Company's operations are primarily centralized in the state of Minas Gerais. The main operational segment is distribution of electrical energy, followed by electric energy commercialization, gas distribution, electric energy generation, and electric energy transmission. Constituted to operate in the commercialization of electric power and as holding company, with interests in subsidiaries or jointly controlled entities, whose objectives are: construction and operation of systems for generation, transformation, transmission, distribution and sale of energy, and also activities in the various fields of energy sector, including gas distribution, provision of distributed generation services and energy efficiency solutions, for the purpose of commercial operation.</v>
    <v>4918</v>
    <v>B3 - Brazil Stock Exchange</v>
    <v>BVMF</v>
    <v>BVMF</v>
    <v>Avenida Barbacena, 1200, 16 / B1, Santo Agostinho, BELO HORIZONTE, MINAS GERAIS, 30.190-131 BR</v>
    <v>11.01</v>
    <v>Electrical Utilities &amp; IPPs</v>
    <v>Stock</v>
    <v>45660</v>
    <v>53</v>
    <v>10.6</v>
    <v>35114050000</v>
    <v>ENERGY CO OF MINAS GERAIS</v>
    <v>ENERGY CO OF MINAS GERAIS</v>
    <v>10.99</v>
    <v>11.08</v>
    <v>10.84</v>
    <v>2861782000</v>
    <v>CMIG4</v>
    <v>ENERGY CO OF MINAS GERAIS (BVMF:CMIG4)</v>
    <v>25030100</v>
    <v>15523140</v>
    <v>1952</v>
  </rv>
  <rv s="1">
    <v>54</v>
  </rv>
  <rv s="10">
    <v>en-US</v>
    <v>caz8k2</v>
    <v>268435456</v>
    <v>1</v>
    <v>Powered by Refinitiv</v>
    <v>30</v>
    <v>31</v>
    <v>NU IBOV SMART DIVIDENDOS FDI (BVMF:NSDV11)</v>
    <v>3</v>
    <v>32</v>
    <v>Finance</v>
    <v>26</v>
    <v>125.26</v>
    <v>108.16</v>
    <v>-1.62</v>
    <v>-1.4754E-2</v>
    <v>BRL</v>
    <v>B3 - Brazil Stock Exchange</v>
    <v>BVMF</v>
    <v>110</v>
    <v>ETF</v>
    <v>45660</v>
    <v>108.16</v>
    <v>44215252.240000002</v>
    <v>NU IBOV SMART DIVIDENDOS FDI</v>
    <v>109.5</v>
    <v>109.8</v>
    <v>108.18</v>
    <v>NSDV11</v>
    <v>NU IBOV SMART DIVIDENDOS FDI (BVMF:NSDV11)</v>
    <v>51229</v>
  </rv>
  <rv s="1">
    <v>56</v>
  </rv>
  <rv s="2">
    <v>https://www.bing.com/financeapi/forcetrigger?t=apn14c&amp;q=BVMF%3aMXRF11&amp;form=skydnc</v>
    <v>Learn more on Bing</v>
  </rv>
  <rv s="11">
    <v>pt-BR</v>
    <v>apn14c</v>
    <v>268435456</v>
    <v>1</v>
    <v>Da plataforma Refinitiv</v>
    <v>33</v>
    <v>34</v>
    <v>MAXI RENDA FII ETF (BVMF:MXRF11)</v>
    <v>20</v>
    <v>35</v>
    <v>Finance</v>
    <v>36</v>
    <v>9.8000000000000007</v>
    <v>8.67</v>
    <v>BVMF</v>
    <v>9.3699999999999992</v>
    <v>9.27</v>
    <v>B3 - Brazil Stock Exchange</v>
    <v>9.26</v>
    <v>45660</v>
    <v>58</v>
    <v>BRL</v>
    <v>MAXI RENDA FII ETF</v>
    <v>9.2799999999999994</v>
    <v>9.31</v>
    <v>MXRF11</v>
    <v>Fundos mais negociados</v>
    <v>MAXI RENDA FII ETF (BVMF:MXRF11)</v>
    <v>0.05</v>
    <v>5.4000000000000003E-3</v>
    <v>1116695</v>
  </rv>
  <rv s="1">
    <v>59</v>
  </rv>
  <rv s="2">
    <v>https://www.bing.com/financeapi/forcetrigger?t=apmqh7&amp;q=BVMF%3aHGLG11&amp;form=skydnc</v>
    <v>Learn more on Bing</v>
  </rv>
  <rv s="11">
    <v>pt-BR</v>
    <v>apmqh7</v>
    <v>268435456</v>
    <v>1</v>
    <v>Da plataforma Refinitiv</v>
    <v>33</v>
    <v>34</v>
    <v>FDO INV IMOB CSHG LOGISTICA CF (BVMF:HGLG11)</v>
    <v>20</v>
    <v>35</v>
    <v>Finance</v>
    <v>36</v>
    <v>159.36000000000001</v>
    <v>141</v>
    <v>BVMF</v>
    <v>156.13</v>
    <v>154</v>
    <v>B3 - Brazil Stock Exchange</v>
    <v>154.63999999999999</v>
    <v>45660</v>
    <v>61</v>
    <v>BRL</v>
    <v>FDO INV IMOB CSHG LOGISTICA CF</v>
    <v>154.63999999999999</v>
    <v>154</v>
    <v>HGLG11</v>
    <v>Fundos mais negociados</v>
    <v>FDO INV IMOB CSHG LOGISTICA CF (BVMF:HGLG11)</v>
    <v>-0.64</v>
    <v>-4.1390000000000003E-3</v>
    <v>51863</v>
  </rv>
  <rv s="1">
    <v>62</v>
  </rv>
  <rv s="2">
    <v>https://www.bing.com/financeapi/forcetrigger?t=bt3oh7&amp;q=BVMF%3aBRCO11&amp;form=skydnc</v>
    <v>Learn more on Bing</v>
  </rv>
  <rv s="11">
    <v>pt-BR</v>
    <v>bt3oh7</v>
    <v>268435456</v>
    <v>1</v>
    <v>Da plataforma Refinitiv</v>
    <v>33</v>
    <v>34</v>
    <v>BRESCO LOGISTICA - FDO INV IMOB (BVMF:BRCO11)</v>
    <v>20</v>
    <v>35</v>
    <v>Finance</v>
    <v>36</v>
    <v>116.53</v>
    <v>92.67</v>
    <v>BVMF</v>
    <v>102.79</v>
    <v>99.5</v>
    <v>B3 - Brazil Stock Exchange</v>
    <v>102.9</v>
    <v>45660</v>
    <v>64</v>
    <v>BRL</v>
    <v>BRESCO LOGISTICA - FDO INV IMOB</v>
    <v>102.79</v>
    <v>99.5</v>
    <v>BRCO11</v>
    <v>Fundos mais negociados</v>
    <v>BRESCO LOGISTICA - FDO INV IMOB (BVMF:BRCO11)</v>
    <v>-3.4</v>
    <v>-3.3041999999999995E-2</v>
    <v>31775</v>
  </rv>
  <rv s="1">
    <v>65</v>
  </rv>
  <rv s="2">
    <v>https://www.bing.com/financeapi/forcetrigger?t=bgly3m&amp;q=BVMF%3aXPML11&amp;form=skydnc</v>
    <v>Learn more on Bing</v>
  </rv>
  <rv s="11">
    <v>pt-BR</v>
    <v>bgly3m</v>
    <v>268435456</v>
    <v>1</v>
    <v>Da plataforma Refinitiv</v>
    <v>33</v>
    <v>34</v>
    <v>XP MALLS FDO INV IMOB FII ETF (BVMF:XPML11)</v>
    <v>20</v>
    <v>35</v>
    <v>Finance</v>
    <v>36</v>
    <v>111.78</v>
    <v>90.32</v>
    <v>BVMF</v>
    <v>99.84</v>
    <v>96.96</v>
    <v>B3 - Brazil Stock Exchange</v>
    <v>98.45</v>
    <v>45660</v>
    <v>67</v>
    <v>BRL</v>
    <v>XP MALLS FDO INV IMOB FII ETF</v>
    <v>98.45</v>
    <v>97.73</v>
    <v>XPML11</v>
    <v>Fundos mais negociados</v>
    <v>XP MALLS FDO INV IMOB FII ETF (BVMF:XPML11)</v>
    <v>-0.72</v>
    <v>-7.3129999999999992E-3</v>
    <v>159598</v>
  </rv>
  <rv s="1">
    <v>68</v>
  </rv>
  <rv s="2">
    <v>https://www.bing.com/financeapi/forcetrigger?t=bgmp52&amp;q=BVMF%3aMALL11&amp;form=skydnc</v>
    <v>Learn more on Bing</v>
  </rv>
  <rv s="11">
    <v>pt-BR</v>
    <v>bgmp52</v>
    <v>268435456</v>
    <v>1</v>
    <v>Da plataforma Refinitiv</v>
    <v>33</v>
    <v>34</v>
    <v>MALLS BRASIL PLURAL FDO INV IMOB CF (BVMF:MALL11)</v>
    <v>20</v>
    <v>35</v>
    <v>Finance</v>
    <v>36</v>
    <v>111.16</v>
    <v>88.42</v>
    <v>BVMF</v>
    <v>97.19</v>
    <v>95.4</v>
    <v>B3 - Brazil Stock Exchange</v>
    <v>96.05</v>
    <v>45660</v>
    <v>70</v>
    <v>BRL</v>
    <v>MALLS BRASIL PLURAL FDO INV IMOB CF</v>
    <v>96.05</v>
    <v>96.1</v>
    <v>MALL11</v>
    <v>Fundos mais negociados</v>
    <v>MALLS BRASIL PLURAL FDO INV IMOB CF (BVMF:MALL11)</v>
    <v>0.05</v>
    <v>5.2059999999999997E-4</v>
    <v>8954</v>
  </rv>
  <rv s="1">
    <v>71</v>
  </rv>
  <rv s="2">
    <v>https://www.bing.com/financeapi/forcetrigger?t=apmu8m&amp;q=BVMF%3aKNCR11&amp;form=skydnc</v>
    <v>Learn more on Bing</v>
  </rv>
  <rv s="11">
    <v>pt-BR</v>
    <v>apmu8m</v>
    <v>268435456</v>
    <v>1</v>
    <v>Da plataforma Refinitiv</v>
    <v>33</v>
    <v>34</v>
    <v>FDO INV IMOB KINEA RENDIMENTOS ETF (BVMF:KNCR11)</v>
    <v>20</v>
    <v>35</v>
    <v>Finance</v>
    <v>36</v>
    <v>103.9</v>
    <v>90.99</v>
    <v>BVMF</v>
    <v>103.9</v>
    <v>101.09</v>
    <v>B3 - Brazil Stock Exchange</v>
    <v>101.75</v>
    <v>45660</v>
    <v>73</v>
    <v>BRL</v>
    <v>FDO INV IMOB KINEA RENDIMENTOS ETF</v>
    <v>101.75</v>
    <v>103.87</v>
    <v>KNCR11</v>
    <v>Fundos mais negociados</v>
    <v>FDO INV IMOB KINEA RENDIMENTOS ETF (BVMF:KNCR11)</v>
    <v>2.12</v>
    <v>2.0834999999999999E-2</v>
    <v>178327</v>
  </rv>
  <rv s="1">
    <v>74</v>
  </rv>
  <rv s="2">
    <v>https://www.bing.com/financeapi/forcetrigger?t=apnkxm&amp;q=BVMF%3aVRTA11&amp;form=skydnc</v>
    <v>Learn more on Bing</v>
  </rv>
  <rv s="11">
    <v>pt-BR</v>
    <v>apnkxm</v>
    <v>268435456</v>
    <v>1</v>
    <v>Da plataforma Refinitiv</v>
    <v>33</v>
    <v>34</v>
    <v>FATOR VERITA FDO INV IMOB OF (BVMF:VRTA11)</v>
    <v>20</v>
    <v>35</v>
    <v>Finance</v>
    <v>36</v>
    <v>85.82</v>
    <v>69.25</v>
    <v>BVMF</v>
    <v>78.989999999999995</v>
    <v>77.59</v>
    <v>B3 - Brazil Stock Exchange</v>
    <v>78.849999999999994</v>
    <v>45660</v>
    <v>76</v>
    <v>BRL</v>
    <v>FATOR VERITA FDO INV IMOB OF</v>
    <v>78.849999999999994</v>
    <v>78.8</v>
    <v>VRTA11</v>
    <v>Fundos mais negociados</v>
    <v>FATOR VERITA FDO INV IMOB OF (BVMF:VRTA11)</v>
    <v>-0.05</v>
    <v>-6.3409999999999996E-4</v>
    <v>9510</v>
  </rv>
  <rv s="1">
    <v>77</v>
  </rv>
  <rv s="2">
    <v>https://www.bing.com/financeapi/forcetrigger?t=apnk7w&amp;q=BVMF%3aVISC11&amp;form=skydnc</v>
    <v>Learn more on Bing</v>
  </rv>
  <rv s="11">
    <v>pt-BR</v>
    <v>apnk7w</v>
    <v>268435456</v>
    <v>1</v>
    <v>Da plataforma Refinitiv</v>
    <v>33</v>
    <v>34</v>
    <v>VINCI SHOPPING CENTERS FDO INVEST IMOB CF (BVMF:VISC11)</v>
    <v>20</v>
    <v>35</v>
    <v>Finance</v>
    <v>36</v>
    <v>114.99</v>
    <v>84.49</v>
    <v>BVMF</v>
    <v>96.8</v>
    <v>95</v>
    <v>B3 - Brazil Stock Exchange</v>
    <v>96.22</v>
    <v>45660</v>
    <v>79</v>
    <v>BRL</v>
    <v>VINCI SHOPPING CENTERS FDO INVEST IMOB CF</v>
    <v>96.22</v>
    <v>95</v>
    <v>VISC11</v>
    <v>Fundos mais negociados</v>
    <v>VINCI SHOPPING CENTERS FDO INVEST IMOB CF (BVMF:VISC11)</v>
    <v>-1.22</v>
    <v>-1.2679000000000001E-2</v>
    <v>39853</v>
  </rv>
  <rv s="1">
    <v>80</v>
  </rv>
  <rv s="2">
    <v>https://www.bing.com/financeapi/forcetrigger?t=apmqk2&amp;q=BVMF%3aHGRE11&amp;form=skydnc</v>
    <v>Learn more on Bing</v>
  </rv>
  <rv s="11">
    <v>pt-BR</v>
    <v>apmqk2</v>
    <v>268435456</v>
    <v>1</v>
    <v>Da plataforma Refinitiv</v>
    <v>33</v>
    <v>34</v>
    <v>HG REAL ESTATE FDO INV IMOB CF (BVMF:HGRE11)</v>
    <v>20</v>
    <v>35</v>
    <v>Finance</v>
    <v>36</v>
    <v>125.39</v>
    <v>92.8</v>
    <v>BVMF</v>
    <v>102.99</v>
    <v>100.23</v>
    <v>B3 - Brazil Stock Exchange</v>
    <v>101.05</v>
    <v>45660</v>
    <v>82</v>
    <v>BRL</v>
    <v>HG REAL ESTATE FDO INV IMOB CF</v>
    <v>102.07</v>
    <v>101.2</v>
    <v>HGRE11</v>
    <v>Fundos mais negociados</v>
    <v>HG REAL ESTATE FDO INV IMOB CF (BVMF:HGRE11)</v>
    <v>0.15</v>
    <v>1.4840000000000001E-3</v>
    <v>13712</v>
  </rv>
  <rv s="1">
    <v>83</v>
  </rv>
  <rv s="12">
    <v>12</v>
    <v>Price</v>
    <v>0</v>
  </rv>
  <rv s="13">
    <v>pt-BR</v>
    <v>avylgh</v>
    <v>268435456</v>
    <v>1</v>
    <v>Da plataforma Refinitiv</v>
    <v>37</v>
    <v>38</v>
    <v>USD/BRL</v>
    <v>3</v>
    <v>39</v>
    <v>Finance</v>
    <v>40</v>
    <v>6.3139000000000003</v>
    <v>4.8304999999999998</v>
    <v>USD</v>
    <v>6.1519000000000004</v>
    <v>45660.895844907405</v>
    <v>BRL</v>
    <v>US Dollar/Brazilian Real FX Spot Rate</v>
    <v>6.1798000000000002</v>
    <v>USDBRL</v>
    <v>Par de Moedas</v>
    <v>USD/BRL</v>
    <v>2.7900000000000001E-2</v>
    <v>4.535E-3</v>
  </rv>
  <rv s="1">
    <v>86</v>
  </rv>
</rvData>
</file>

<file path=xl/richData/rdrichvaluestructure.xml><?xml version="1.0" encoding="utf-8"?>
<rvStructures xmlns="http://schemas.microsoft.com/office/spreadsheetml/2017/richdata" count="14">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Change"/>
    <k n="Change (%)"/>
    <k n="Currency" t="s"/>
    <k n="From currency" t="s"/>
    <k n="Instrument type" t="s"/>
    <k n="Last trade time"/>
    <k n="Name" t="s"/>
    <k n="Previous close"/>
    <k n="Price"/>
    <k n="Ticker symbol" t="s"/>
    <k n="UniqueName" t="s"/>
  </s>
  <s t="_linkedentity">
    <k n="%cvi" t="r"/>
  </s>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52 week high"/>
    <k n="52 week low"/>
    <k n="Change"/>
    <k n="Change (%)"/>
    <k n="Currency" t="s"/>
    <k n="Exchange" t="s"/>
    <k n="Exchange abbreviation" t="s"/>
    <k n="High"/>
    <k n="Instrument type" t="s"/>
    <k n="Last trade time"/>
    <k n="Low"/>
    <k n="Market cap"/>
    <k n="Name" t="s"/>
    <k n="Open"/>
    <k n="Previous close"/>
    <k n="Price"/>
    <k n="Ticker symbol"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lto"/>
    <k n="Baixo"/>
    <k n="Bolsa" t="s"/>
    <k n="Fechamento anterior"/>
    <k n="Hora da última transação"/>
    <k n="LearnMoreOnLink" t="r"/>
    <k n="Moeda" t="s"/>
    <k n="Nome" t="s"/>
    <k n="Pendência"/>
    <k n="Preço"/>
    <k n="Símbolo do ticker" t="s"/>
    <k n="Tipo de instrumento" t="s"/>
    <k n="UniqueName" t="s"/>
    <k n="Variação"/>
    <k n="Variação (%)"/>
    <k n="Volume"/>
  </s>
  <s t="_error">
    <k n="errorType" t="i"/>
    <k n="field" t="s"/>
    <k n="subType" t="i"/>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Da moeda" t="s"/>
    <k n="Fechamento anterior"/>
    <k n="Hora da última transação"/>
    <k n="Moeda" t="s"/>
    <k n="Nome" t="s"/>
    <k n="Preço"/>
    <k n="Símbolo do ticker" t="s"/>
    <k n="Tipo de instrumento" t="s"/>
    <k n="UniqueName" t="s"/>
    <k n="Variação"/>
    <k n="Variação (%)"/>
  </s>
</rvStructures>
</file>

<file path=xl/richData/rdsupportingpropertybag.xml><?xml version="1.0" encoding="utf-8"?>
<supportingPropertyBags xmlns="http://schemas.microsoft.com/office/spreadsheetml/2017/richdata2">
  <spbArrays count="9">
    <a count="25">
      <v t="s">%EntityServiceId</v>
      <v t="s">_Format</v>
      <v t="s">%IsRefreshable</v>
      <v t="s">_CanonicalPropertyNames</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a>
    <a count="46">
      <v t="s">%EntityServiceId</v>
      <v t="s">_Format</v>
      <v t="s">%IsRefreshable</v>
      <v t="s">_CanonicalPropertyNames</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7">
      <v t="s">%EntityServiceId</v>
      <v t="s">_Format</v>
      <v t="s">%IsRefreshable</v>
      <v t="s">_CanonicalPropertyNames</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8">
      <v t="s">%EntityServiceId</v>
      <v t="s">_Format</v>
      <v t="s">%IsRefreshable</v>
      <v t="s">_CanonicalPropertyNames</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2">
      <v t="s">%EntityServiceId</v>
      <v t="s">_Format</v>
      <v t="s">%IsRefreshable</v>
      <v t="s">_CanonicalPropertyNames</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1">
      <v t="s">%EntityServiceId</v>
      <v t="s">_Format</v>
      <v t="s">%IsRefreshable</v>
      <v t="s">_CanonicalPropertyNames</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Instrument type</v>
      <v t="s">_Flags</v>
      <v t="s">UniqueName</v>
      <v t="s">_DisplayString</v>
      <v t="s">LearnMoreOnLink</v>
      <v t="s">%ProviderInfo</v>
    </a>
    <a count="31">
      <v t="s">%EntityServiceId</v>
      <v t="s">_Format</v>
      <v t="s">%IsRefreshable</v>
      <v t="s">_CanonicalPropertyNames</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Market cap</v>
      <v t="s">Instrument type</v>
      <v t="s">_Flags</v>
      <v t="s">UniqueName</v>
      <v t="s">_DisplayString</v>
      <v t="s">%ProviderInfo</v>
    </a>
    <a count="31">
      <v t="s">%EntityServiceId</v>
      <v t="s">_Format</v>
      <v t="s">%IsRefreshable</v>
      <v t="s">_CanonicalPropertyNames</v>
      <v t="s">%EntityCulture</v>
      <v t="s">%EntityId</v>
      <v t="s">_Icon</v>
      <v t="s">_Display</v>
      <v t="s">Nome</v>
      <v t="s">_SubLabel</v>
      <v t="s">Preço</v>
      <v t="s">Bolsa</v>
      <v t="s">Hora da última transação</v>
      <v t="s">Símbolo do ticker</v>
      <v t="s">Abreviatura do câmbio</v>
      <v t="s">Variação</v>
      <v t="s">Variação (%)</v>
      <v t="s">Moeda</v>
      <v t="s">Fechamento anterior</v>
      <v t="s">Pendência</v>
      <v t="s">Alto</v>
      <v t="s">Baixo</v>
      <v t="s">52 semanas de alta</v>
      <v t="s">52 semanas de baixa</v>
      <v t="s">Volume</v>
      <v t="s">Tipo de instrumento</v>
      <v t="s">_Flags</v>
      <v t="s">UniqueName</v>
      <v t="s">_DisplayString</v>
      <v t="s">LearnMoreOnLink</v>
      <v t="s">%ProviderInfo</v>
    </a>
    <a count="25">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52 semanas de alta</v>
      <v t="s">52 semanas de baixa</v>
      <v t="s">Tipo de instrumento</v>
      <v t="s">_Flags</v>
      <v t="s">UniqueName</v>
      <v t="s">_DisplayString</v>
      <v t="s">%ProviderInfo</v>
    </a>
  </spbArrays>
  <spbData count="41">
    <spb s="0">
      <v>Name</v>
      <v>Price</v>
      <v>Change</v>
      <v>Currency</v>
      <v>Change (%)</v>
      <v>UniqueName</v>
      <v>52 week low</v>
      <v>52 week high</v>
      <v>%ProviderInfo</v>
      <v>From currency</v>
      <v>Ticker symbol</v>
      <v>Previous close</v>
      <v>Instrument type</v>
      <v>Last trade time</v>
    </spb>
    <spb s="1">
      <v>0</v>
      <v>Name</v>
    </spb>
    <spb s="2">
      <v>0</v>
      <v>0</v>
      <v>0</v>
    </spb>
    <spb s="3">
      <v>2</v>
      <v>2</v>
    </spb>
    <spb s="4">
      <v>1</v>
      <v>2</v>
      <v>2</v>
      <v>3</v>
      <v>2</v>
      <v>2</v>
      <v>2</v>
      <v>4</v>
      <v>5</v>
    </spb>
    <spb s="5">
      <v>GMT</v>
    </spb>
    <spb s="6">
      <v>Low</v>
      <v>P/E</v>
      <v>Beta</v>
      <v>High</v>
      <v>Name</v>
      <v>Open</v>
      <v>Price</v>
      <v>Change</v>
      <v>Volume</v>
      <v>Currency</v>
      <v>Exchange</v>
      <v>Industry</v>
      <v>Employees</v>
      <v>Change (%)</v>
      <v>ExchangeID</v>
      <v>Market cap</v>
      <v>UniqueName</v>
      <v>52 week low</v>
      <v>Description</v>
      <v>52 week high</v>
      <v>Headquarters</v>
      <v>%ProviderInfo</v>
      <v>Official name</v>
      <v>Ticker symbol</v>
      <v>Previous close</v>
      <v>Volume average</v>
      <v>Instrument type</v>
      <v>Last trade time</v>
      <v>LearnMoreOnLink</v>
      <v>Year incorporated</v>
      <v>Shares outstanding</v>
      <v>Exchange abbreviation</v>
      <v>Price (Extended hours)</v>
      <v>Change (Extended hours)</v>
      <v>Change % (Extended hours)</v>
    </spb>
    <spb s="7">
      <v>1</v>
      <v>Name</v>
      <v>LearnMoreOnLink</v>
    </spb>
    <spb s="8">
      <v>2</v>
      <v>2</v>
      <v>2</v>
      <v>2</v>
    </spb>
    <spb s="9">
      <v>6</v>
      <v>7</v>
      <v>7</v>
      <v>6</v>
      <v>1</v>
      <v>6</v>
      <v>6</v>
      <v>6</v>
      <v>8</v>
      <v>8</v>
      <v>3</v>
      <v>9</v>
      <v>6</v>
      <v>6</v>
      <v>6</v>
      <v>8</v>
      <v>4</v>
      <v>10</v>
      <v>5</v>
      <v>8</v>
      <v>6</v>
      <v>6</v>
      <v>3</v>
    </spb>
    <spb s="10">
      <v>at close</v>
      <v>from previous close</v>
      <v>from previous close</v>
      <v>Source: Nasdaq</v>
      <v>GMT</v>
      <v>Delayed 15 minutes</v>
      <v>from close</v>
      <v>from close</v>
    </spb>
    <spb s="10">
      <v>at close</v>
      <v>from previous close</v>
      <v>from previous close</v>
      <v>Source: Nasdaq Last Sale</v>
      <v>GMT</v>
      <v>Real-Time Nasdaq Last Sale</v>
      <v>from close</v>
      <v>from close</v>
    </spb>
    <spb s="11">
      <v>Low</v>
      <v>P/E</v>
      <v>Beta</v>
      <v>High</v>
      <v>Name</v>
      <v>Open</v>
      <v>Image</v>
      <v>Price</v>
      <v>Change</v>
      <v>Volume</v>
      <v>Currency</v>
      <v>Exchange</v>
      <v>Industry</v>
      <v>Employees</v>
      <v>Change (%)</v>
      <v>ExchangeID</v>
      <v>Market cap</v>
      <v>UniqueName</v>
      <v>52 week low</v>
      <v>Description</v>
      <v>52 week high</v>
      <v>Headquarters</v>
      <v>%ProviderInfo</v>
      <v>Official name</v>
      <v>Ticker symbol</v>
      <v>Previous close</v>
      <v>Volume average</v>
      <v>Instrument type</v>
      <v>Last trade time</v>
      <v>LearnMoreOnLink</v>
      <v>Year incorporated</v>
      <v>Shares outstanding</v>
      <v>Exchange abbreviation</v>
      <v>Price (Extended hours)</v>
      <v>Change (Extended hours)</v>
      <v>Change % (Extended hours)</v>
    </spb>
    <spb s="7">
      <v>2</v>
      <v>Name</v>
      <v>LearnMoreOnLink</v>
    </spb>
    <spb s="12">
      <v>0</v>
      <v>0</v>
    </spb>
    <spb s="13">
      <v>14</v>
      <v>2</v>
      <v>2</v>
      <v>2</v>
      <v>2</v>
    </spb>
    <spb s="14">
      <v>6</v>
      <v>7</v>
      <v>7</v>
      <v>6</v>
      <v>1</v>
      <v>6</v>
      <v>11</v>
      <v>6</v>
      <v>6</v>
      <v>8</v>
      <v>8</v>
      <v>3</v>
      <v>9</v>
      <v>6</v>
      <v>6</v>
      <v>6</v>
      <v>8</v>
      <v>4</v>
      <v>10</v>
      <v>5</v>
      <v>8</v>
      <v>6</v>
      <v>6</v>
      <v>3</v>
    </spb>
    <spb s="15">
      <v>Powered by Refinitiv</v>
    </spb>
    <spb s="16">
      <v>Low</v>
      <v>Beta</v>
      <v>High</v>
      <v>Name</v>
      <v>Open</v>
      <v>Price</v>
      <v>Change</v>
      <v>Volume</v>
      <v>Currency</v>
      <v>Exchange</v>
      <v>Change (%)</v>
      <v>Market cap</v>
      <v>UniqueName</v>
      <v>52 week low</v>
      <v>52 week high</v>
      <v>%ProviderInfo</v>
      <v>Expense ratio</v>
      <v>Ticker symbol</v>
      <v>Previous close</v>
      <v>Volume average</v>
      <v>Instrument type</v>
      <v>Last trade time</v>
      <v>LearnMoreOnLink</v>
      <v>Exchange abbreviation</v>
      <v>Price (Extended hours)</v>
      <v>Change (Extended hours)</v>
      <v>Change % (Extended hours)</v>
    </spb>
    <spb s="7">
      <v>3</v>
      <v>Name</v>
      <v>LearnMoreOnLink</v>
    </spb>
    <spb s="17">
      <v>2</v>
      <v>2</v>
      <v>2</v>
    </spb>
    <spb s="18">
      <v>6</v>
      <v>7</v>
      <v>6</v>
      <v>1</v>
      <v>6</v>
      <v>6</v>
      <v>6</v>
      <v>8</v>
      <v>3</v>
      <v>9</v>
      <v>6</v>
      <v>6</v>
      <v>3</v>
      <v>6</v>
      <v>8</v>
      <v>4</v>
      <v>5</v>
      <v>6</v>
      <v>6</v>
      <v>3</v>
    </spb>
    <spb s="19">
      <v>at close</v>
      <v>from previous close</v>
      <v>Source: Nasdaq</v>
      <v>from previous close</v>
      <v>GMT</v>
      <v>Delayed 15 minutes</v>
      <v>from close</v>
      <v>from close</v>
    </spb>
    <spb s="20">
      <v>Low</v>
      <v>Beta</v>
      <v>High</v>
      <v>Name</v>
      <v>Open</v>
      <v>Price</v>
      <v>Change</v>
      <v>Volume</v>
      <v>Currency</v>
      <v>Exchange</v>
      <v>Industry</v>
      <v>Employees</v>
      <v>Change (%)</v>
      <v>ExchangeID</v>
      <v>Market cap</v>
      <v>UniqueName</v>
      <v>52 week low</v>
      <v>Description</v>
      <v>52 week high</v>
      <v>Headquarters</v>
      <v>%ProviderInfo</v>
      <v>Official name</v>
      <v>Ticker symbol</v>
      <v>Previous close</v>
      <v>Volume average</v>
      <v>Instrument type</v>
      <v>Last trade time</v>
      <v>LearnMoreOnLink</v>
      <v>Year incorporated</v>
      <v>Shares outstanding</v>
      <v>Exchange abbreviation</v>
    </spb>
    <spb s="7">
      <v>4</v>
      <v>Name</v>
      <v>LearnMoreOnLink</v>
    </spb>
    <spb s="21">
      <v>2</v>
      <v>7</v>
      <v>2</v>
      <v>1</v>
      <v>2</v>
      <v>2</v>
      <v>2</v>
      <v>8</v>
      <v>8</v>
      <v>3</v>
      <v>12</v>
      <v>2</v>
      <v>2</v>
      <v>2</v>
      <v>8</v>
      <v>13</v>
      <v>10</v>
      <v>5</v>
      <v>8</v>
    </spb>
    <spb s="22">
      <v>Delayed 30 minutes</v>
      <v>from previous close</v>
      <v>from previous close</v>
      <v>GMT</v>
    </spb>
    <spb s="23">
      <v>Low</v>
      <v>High</v>
      <v>Name</v>
      <v>Open</v>
      <v>Price</v>
      <v>Change</v>
      <v>Volume</v>
      <v>Currency</v>
      <v>Exchange</v>
      <v>Change (%)</v>
      <v>UniqueName</v>
      <v>52 week low</v>
      <v>52 week high</v>
      <v>%ProviderInfo</v>
      <v>Ticker symbol</v>
      <v>Previous close</v>
      <v>Instrument type</v>
      <v>Last trade time</v>
      <v>LearnMoreOnLink</v>
      <v>Exchange abbreviation</v>
    </spb>
    <spb s="7">
      <v>5</v>
      <v>Name</v>
      <v>LearnMoreOnLink</v>
    </spb>
    <spb s="24">
      <v>2</v>
      <v>2</v>
      <v>1</v>
      <v>2</v>
      <v>2</v>
      <v>2</v>
      <v>8</v>
      <v>3</v>
      <v>2</v>
      <v>2</v>
      <v>2</v>
      <v>13</v>
      <v>5</v>
    </spb>
    <spb s="25">
      <v>Low</v>
      <v>High</v>
      <v>Name</v>
      <v>Open</v>
      <v>Price</v>
      <v>Change</v>
      <v>Volume</v>
      <v>Currency</v>
      <v>Exchange</v>
      <v>Change (%)</v>
      <v>Market cap</v>
      <v>UniqueName</v>
      <v>52 week low</v>
      <v>52 week high</v>
      <v>%ProviderInfo</v>
      <v>Ticker symbol</v>
      <v>Previous close</v>
      <v>Instrument type</v>
      <v>Last trade time</v>
      <v>Exchange abbreviation</v>
    </spb>
    <spb s="1">
      <v>6</v>
      <v>Name</v>
    </spb>
    <spb s="26">
      <v>2</v>
      <v>2</v>
      <v>1</v>
      <v>2</v>
      <v>2</v>
      <v>2</v>
      <v>8</v>
      <v>3</v>
      <v>12</v>
      <v>2</v>
      <v>2</v>
      <v>2</v>
      <v>13</v>
      <v>5</v>
    </spb>
    <spb s="27">
      <v>High</v>
      <v>Name</v>
      <v>Low</v>
      <v>Exchange</v>
      <v>Currency</v>
      <v>Price</v>
      <v>Volume</v>
      <v>Change</v>
      <v>Open</v>
      <v>UniqueName</v>
      <v>Change (%)</v>
      <v>%ProviderInfo</v>
      <v>LearnMoreOnLink</v>
      <v>Ticker symbol</v>
      <v>52 week high</v>
      <v>52 week low</v>
      <v>Previous close</v>
      <v>Instrument type</v>
      <v>Exchange abbreviation</v>
      <v>Last trade time</v>
    </spb>
    <spb s="7">
      <v>7</v>
      <v>Name</v>
      <v>LearnMoreOnLink</v>
    </spb>
    <spb s="28">
      <v>2</v>
      <v>1</v>
      <v>2</v>
      <v>2</v>
      <v>8</v>
      <v>2</v>
      <v>2</v>
      <v>3</v>
      <v>5</v>
      <v>2</v>
      <v>2</v>
      <v>2</v>
      <v>13</v>
    </spb>
    <spb s="29">
      <v>Atraso de 30 minutos</v>
      <v xml:space="preserve">do fechamento anterior </v>
      <v xml:space="preserve">do fechamento anterior </v>
      <v>GMT</v>
    </spb>
    <spb s="30">
      <v>Name</v>
      <v>Currency</v>
      <v>Price</v>
      <v>From currency</v>
      <v>Change</v>
      <v>UniqueName</v>
      <v>Change (%)</v>
      <v>%ProviderInfo</v>
      <v>Ticker symbol</v>
      <v>52 week high</v>
      <v>52 week low</v>
      <v>Previous close</v>
      <v>Instrument type</v>
      <v>Last trade time</v>
    </spb>
    <spb s="1">
      <v>8</v>
      <v>Name</v>
    </spb>
    <spb s="31">
      <v>1</v>
      <v>2</v>
      <v>2</v>
      <v>3</v>
      <v>5</v>
      <v>2</v>
      <v>2</v>
      <v>2</v>
      <v>4</v>
    </spb>
    <spb s="32">
      <v>GMT</v>
    </spb>
  </spbData>
</supportingPropertyBags>
</file>

<file path=xl/richData/rdsupportingpropertybagstructure.xml><?xml version="1.0" encoding="utf-8"?>
<spbStructures xmlns="http://schemas.microsoft.com/office/spreadsheetml/2017/richdata2" count="33">
  <s>
    <k n="Name" t="s"/>
    <k n="Price" t="s"/>
    <k n="Change" t="s"/>
    <k n="Currency" t="s"/>
    <k n="Change (%)" t="s"/>
    <k n="UniqueName" t="s"/>
    <k n="52 week low" t="s"/>
    <k n="52 week high" t="s"/>
    <k n="%ProviderInfo" t="s"/>
    <k n="From currency" t="s"/>
    <k n="Ticker symbol" t="s"/>
    <k n="Previous close" t="s"/>
    <k n="Instrument type" t="s"/>
    <k n="Last trade time" t="s"/>
  </s>
  <s>
    <k n="^Order" t="spba"/>
    <k n="TitleProperty" t="s"/>
  </s>
  <s>
    <k n="ShowInCardView" t="b"/>
    <k n="ShowInDotNotation" t="b"/>
    <k n="ShowInAutoComplete" t="b"/>
  </s>
  <s>
    <k n="UniqueName" t="spb"/>
    <k n="`%ProviderInfo" t="spb"/>
  </s>
  <s>
    <k n="Name" t="i"/>
    <k n="Price" t="i"/>
    <k n="Change" t="i"/>
    <k n="Change (%)" t="i"/>
    <k n="52 week low" t="i"/>
    <k n="52 week high" t="i"/>
    <k n="Previous close" t="i"/>
    <k n="Last trade time" t="i"/>
    <k n="`%EntityServiceId" t="i"/>
  </s>
  <s>
    <k n="Last trade time" t="s"/>
  </s>
  <s>
    <k n="Low" t="s"/>
    <k n="P/E" t="s"/>
    <k n="Beta" t="s"/>
    <k n="High" t="s"/>
    <k n="Name" t="s"/>
    <k n="Open" t="s"/>
    <k n="Price" t="s"/>
    <k n="Change" t="s"/>
    <k n="Volume" t="s"/>
    <k n="Currency" t="s"/>
    <k n="Exchange" t="s"/>
    <k n="Industry" t="s"/>
    <k n="Employees" t="s"/>
    <k n="Change (%)" t="s"/>
    <k n="ExchangeID" t="s"/>
    <k n="Market cap" t="s"/>
    <k n="UniqueName" t="s"/>
    <k n="52 week low" t="s"/>
    <k n="Description" t="s"/>
    <k n="52 week high" t="s"/>
    <k n="Headquarters" t="s"/>
    <k n="%ProviderInfo" t="s"/>
    <k n="Official name" t="s"/>
    <k n="Ticker symbol" t="s"/>
    <k n="Previous close" t="s"/>
    <k n="Volume average" t="s"/>
    <k n="Instrument type" t="s"/>
    <k n="Last trade time" t="s"/>
    <k n="LearnMoreOnLink" t="s"/>
    <k n="Year incorporated" t="s"/>
    <k n="Shares outstanding" t="s"/>
    <k n="Exchange abbreviation" t="s"/>
    <k n="Price (Extended hours)" t="s"/>
    <k n="Change (Extended hours)" t="s"/>
    <k n="Change % (Extended hours)"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s"/>
    <k n="P/E" t="s"/>
    <k n="Beta" t="s"/>
    <k n="High" t="s"/>
    <k n="Name" t="s"/>
    <k n="Open" t="s"/>
    <k n="Image" t="s"/>
    <k n="Price" t="s"/>
    <k n="Change" t="s"/>
    <k n="Volume" t="s"/>
    <k n="Currency" t="s"/>
    <k n="Exchange" t="s"/>
    <k n="Industry" t="s"/>
    <k n="Employees" t="s"/>
    <k n="Change (%)" t="s"/>
    <k n="ExchangeID" t="s"/>
    <k n="Market cap" t="s"/>
    <k n="UniqueName" t="s"/>
    <k n="52 week low" t="s"/>
    <k n="Description" t="s"/>
    <k n="52 week high" t="s"/>
    <k n="Headquarters" t="s"/>
    <k n="%ProviderInfo" t="s"/>
    <k n="Official name" t="s"/>
    <k n="Ticker symbol" t="s"/>
    <k n="Previous close" t="s"/>
    <k n="Volume average" t="s"/>
    <k n="Instrument type" t="s"/>
    <k n="Last trade time" t="s"/>
    <k n="LearnMoreOnLink" t="s"/>
    <k n="Year incorporated" t="s"/>
    <k n="Shares outstanding" t="s"/>
    <k n="Exchange abbreviation"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s"/>
    <k n="Beta" t="s"/>
    <k n="High" t="s"/>
    <k n="Name" t="s"/>
    <k n="Open" t="s"/>
    <k n="Price" t="s"/>
    <k n="Change" t="s"/>
    <k n="Volume" t="s"/>
    <k n="Currency" t="s"/>
    <k n="Exchange" t="s"/>
    <k n="Change (%)" t="s"/>
    <k n="Market cap" t="s"/>
    <k n="UniqueName" t="s"/>
    <k n="52 week low" t="s"/>
    <k n="52 week high" t="s"/>
    <k n="%ProviderInfo" t="s"/>
    <k n="Expense ratio" t="s"/>
    <k n="Ticker symbol" t="s"/>
    <k n="Previous close" t="s"/>
    <k n="Volume average" t="s"/>
    <k n="Instrument type" t="s"/>
    <k n="Last trade time" t="s"/>
    <k n="LearnMoreOnLink" t="s"/>
    <k n="Exchange abbreviation" t="s"/>
    <k n="Price (Extended hours)" t="s"/>
    <k n="Change (Extended hours)" t="s"/>
    <k n="Change % (Extended hours)"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Low" t="s"/>
    <k n="Beta" t="s"/>
    <k n="High" t="s"/>
    <k n="Name" t="s"/>
    <k n="Open" t="s"/>
    <k n="Price" t="s"/>
    <k n="Change" t="s"/>
    <k n="Volume" t="s"/>
    <k n="Currency" t="s"/>
    <k n="Exchange" t="s"/>
    <k n="Industry" t="s"/>
    <k n="Employees" t="s"/>
    <k n="Change (%)" t="s"/>
    <k n="ExchangeID" t="s"/>
    <k n="Market cap" t="s"/>
    <k n="UniqueName" t="s"/>
    <k n="52 week low" t="s"/>
    <k n="Description" t="s"/>
    <k n="52 week high" t="s"/>
    <k n="Headquarters" t="s"/>
    <k n="%ProviderInfo" t="s"/>
    <k n="Official name" t="s"/>
    <k n="Ticker symbol" t="s"/>
    <k n="Previous close" t="s"/>
    <k n="Volume average" t="s"/>
    <k n="Instrument type" t="s"/>
    <k n="Last trade time" t="s"/>
    <k n="LearnMoreOnLink" t="s"/>
    <k n="Year incorporated" t="s"/>
    <k n="Shares outstanding" t="s"/>
    <k n="Exchange abbreviation"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s"/>
    <k n="High" t="s"/>
    <k n="Name" t="s"/>
    <k n="Open" t="s"/>
    <k n="Price" t="s"/>
    <k n="Change" t="s"/>
    <k n="Volume" t="s"/>
    <k n="Currency" t="s"/>
    <k n="Exchange" t="s"/>
    <k n="Change (%)" t="s"/>
    <k n="UniqueName" t="s"/>
    <k n="52 week low" t="s"/>
    <k n="52 week high" t="s"/>
    <k n="%ProviderInfo" t="s"/>
    <k n="Ticker symbol" t="s"/>
    <k n="Previous close" t="s"/>
    <k n="Instrument type" t="s"/>
    <k n="Last trade time" t="s"/>
    <k n="LearnMoreOnLink" t="s"/>
    <k n="Exchange abbreviation" t="s"/>
  </s>
  <s>
    <k n="Low" t="i"/>
    <k n="High" t="i"/>
    <k n="Name" t="i"/>
    <k n="Open" t="i"/>
    <k n="Price" t="i"/>
    <k n="Change" t="i"/>
    <k n="Volume" t="i"/>
    <k n="Change (%)" t="i"/>
    <k n="52 week low" t="i"/>
    <k n="52 week high" t="i"/>
    <k n="Previous close" t="i"/>
    <k n="Last trade time" t="i"/>
    <k n="`%EntityServiceId" t="i"/>
  </s>
  <s>
    <k n="Low" t="s"/>
    <k n="High" t="s"/>
    <k n="Name" t="s"/>
    <k n="Open" t="s"/>
    <k n="Price" t="s"/>
    <k n="Change" t="s"/>
    <k n="Volume" t="s"/>
    <k n="Currency" t="s"/>
    <k n="Exchange" t="s"/>
    <k n="Change (%)" t="s"/>
    <k n="Market cap" t="s"/>
    <k n="UniqueName" t="s"/>
    <k n="52 week low" t="s"/>
    <k n="52 week high" t="s"/>
    <k n="%ProviderInfo" t="s"/>
    <k n="Ticker symbol" t="s"/>
    <k n="Previous close" t="s"/>
    <k n="Instrument type" t="s"/>
    <k n="Last trade time" t="s"/>
    <k n="Exchange abbreviation" t="s"/>
  </s>
  <s>
    <k n="Low" t="i"/>
    <k n="High" t="i"/>
    <k n="Name" t="i"/>
    <k n="Open" t="i"/>
    <k n="Price" t="i"/>
    <k n="Change" t="i"/>
    <k n="Volume" t="i"/>
    <k n="Change (%)" t="i"/>
    <k n="Market cap" t="i"/>
    <k n="52 week low" t="i"/>
    <k n="52 week high" t="i"/>
    <k n="Previous close" t="i"/>
    <k n="Last trade time" t="i"/>
    <k n="`%EntityServiceId" t="i"/>
  </s>
  <s>
    <k n="Alto" t="s"/>
    <k n="Nome" t="s"/>
    <k n="Baixo" t="s"/>
    <k n="Bolsa" t="s"/>
    <k n="Moeda" t="s"/>
    <k n="Preço" t="s"/>
    <k n="Volume" t="s"/>
    <k n="Variação" t="s"/>
    <k n="Pendência" t="s"/>
    <k n="UniqueName" t="s"/>
    <k n="Variação (%)" t="s"/>
    <k n="%ProviderInfo" t="s"/>
    <k n="LearnMoreOnLink" t="s"/>
    <k n="Símbolo do ticker" t="s"/>
    <k n="52 semanas de alta" t="s"/>
    <k n="52 semanas de baixa" t="s"/>
    <k n="Fechamento anterior" t="s"/>
    <k n="Tipo de instrumento" t="s"/>
    <k n="Abreviatura do câmbio" t="s"/>
    <k n="Hora da última transação" t="s"/>
  </s>
  <s>
    <k n="Alto" t="i"/>
    <k n="Nome" t="i"/>
    <k n="Baixo" t="i"/>
    <k n="Preço" t="i"/>
    <k n="Volume" t="i"/>
    <k n="Variação" t="i"/>
    <k n="Pendência" t="i"/>
    <k n="Variação (%)" t="i"/>
    <k n="`%EntityServiceId" t="i"/>
    <k n="52 semanas de alta" t="i"/>
    <k n="52 semanas de baixa" t="i"/>
    <k n="Fechamento anterior" t="i"/>
    <k n="Hora da última transação" t="i"/>
  </s>
  <s>
    <k n="Preço" t="s"/>
    <k n="Variação" t="s"/>
    <k n="Variação (%)" t="s"/>
    <k n="Hora da última transação" t="s"/>
  </s>
  <s>
    <k n="Nome" t="s"/>
    <k n="Moeda" t="s"/>
    <k n="Preço" t="s"/>
    <k n="Da moeda" t="s"/>
    <k n="Variação" t="s"/>
    <k n="UniqueName" t="s"/>
    <k n="Variação (%)" t="s"/>
    <k n="%ProviderInfo" t="s"/>
    <k n="Símbolo do ticker" t="s"/>
    <k n="52 semanas de alta" t="s"/>
    <k n="52 semanas de baixa" t="s"/>
    <k n="Fechamento anterior" t="s"/>
    <k n="Tipo de instrumento" t="s"/>
    <k n="Hora da última transação" t="s"/>
  </s>
  <s>
    <k n="Nome" t="i"/>
    <k n="Preço" t="i"/>
    <k n="Variação"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4" formatCode="#,##0.00"/>
    </x:dxf>
    <x:dxf>
      <x:numFmt numFmtId="14" formatCode="0.00%"/>
    </x:dxf>
    <x:dxf>
      <x:numFmt numFmtId="2" formatCode="0.00"/>
    </x:dxf>
    <x:dxf>
      <x:numFmt numFmtId="3" formatCode="#,##0"/>
    </x:dxf>
    <x:dxf>
      <x:numFmt numFmtId="27" formatCode="dd/mm/yyyy\ hh:mm"/>
    </x:dxf>
    <x:dxf>
      <x:numFmt numFmtId="1" formatCode="0"/>
    </x:dxf>
    <x:dxf>
      <x:numFmt numFmtId="0" formatCode="General"/>
    </x:dxf>
    <x:dxf>
      <x:numFmt numFmtId="19" formatCode="dd/mm/yyyy"/>
    </x:dxf>
  </dxfs>
  <richProperties>
    <rPr n="IsTitleField" t="b"/>
    <rPr n="NumberFormat" t="s"/>
    <rPr n="IsHeroField" t="b"/>
  </richProperties>
  <richStyles>
    <rSty>
      <rpv i="0">1</rpv>
    </rSty>
    <rSty dxfid="6">
      <rpv i="1">_-[$R$-pt-BR] * #,##0.00_-;-[$R$-pt-BR] * #,##0.00_-;_-[$R$-pt-BR] * "-"??_-;_-@_-</rpv>
    </rSty>
    <rSty dxfid="1"/>
    <rSty dxfid="4"/>
    <rSty dxfid="2">
      <rpv i="1">0.00</rpv>
    </rSty>
    <rSty dxfid="6">
      <rpv i="1">_([$$-en-US]* #,##0.00_);_([$$-en-US]* (#,##0.00);_([$$-en-US]* "-"??_);_(@_)</rpv>
    </rSty>
    <rSty dxfid="0">
      <rpv i="1">#,##0.00</rpv>
    </rSty>
    <rSty dxfid="3">
      <rpv i="1">#,##0</rpv>
    </rSty>
    <rSty dxfid="6">
      <rpv i="1">_([$$-en-US]* #,##0_);_([$$-en-US]* (#,##0);_([$$-en-US]* "-"_);_(@_)</rpv>
    </rSty>
    <rSty dxfid="5">
      <rpv i="1">0</rpv>
    </rSty>
    <rSty>
      <rpv i="2">1</rpv>
    </rSty>
    <rSty dxfid="6">
      <rpv i="1">_-[$R$-pt-BR] * #,##0_-;-[$R$-pt-BR] * #,##0_-;_-[$R$-pt-BR] * "-"_-;_-@_-</rpv>
    </rSty>
    <rSty dxfid="7"/>
  </richStyles>
</richStyleSheet>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4DB58E-556A-4124-AF29-8987054BFF35}" name="Tabela1" displayName="Tabela1" ref="G4:K48" totalsRowShown="0" headerRowDxfId="22">
  <autoFilter ref="G4:K48" xr:uid="{1D4DB58E-556A-4124-AF29-8987054BFF35}"/>
  <tableColumns count="5">
    <tableColumn id="1" xr3:uid="{65324A98-65FD-4420-A4DE-D5C525C7C97A}" name="Mês" dataDxfId="21">
      <calculatedColumnFormula>DATE(YEAR(G4+31),MONTH(G4+31),1)</calculatedColumnFormula>
    </tableColumn>
    <tableColumn id="2" xr3:uid="{83DF7061-AAF2-4993-9D63-9528DB39EDDD}" name="FII" dataCellStyle="Moeda">
      <calculatedColumnFormula>SUMIFS($C:$C,$E:$E,$G5,$B:$B,H$4)</calculatedColumnFormula>
    </tableColumn>
    <tableColumn id="3" xr3:uid="{4CC551BA-B01C-4307-8B94-2938DABD26E7}" name="AÇÃO" dataCellStyle="Moeda">
      <calculatedColumnFormula>SUMIFS($C:$C,$E:$E,$G5,$B:$B,I$4)</calculatedColumnFormula>
    </tableColumn>
    <tableColumn id="5" xr3:uid="{6BC309B5-F9AE-4FA4-866D-1A781186509A}" name="EXTERIOR" dataDxfId="20" dataCellStyle="Moeda">
      <calculatedColumnFormula>SUMIFS($C:$C,$E:$E,$G5,$B:$B,J$4)</calculatedColumnFormula>
    </tableColumn>
    <tableColumn id="4" xr3:uid="{06B728DA-9555-4078-8EF4-FA40036FE01C}" name="TOTAL" dataDxfId="19" dataCellStyle="Moeda">
      <calculatedColumnFormula>SUM(H5:J5)</calculatedColumnFormula>
    </tableColumn>
  </tableColumns>
  <tableStyleInfo name="TableStyleMedium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D18AD5-2356-4FFF-8F4D-EB3D23A0CF0A}" name="Tabela3" displayName="Tabela3" ref="A2:D3" insertRow="1" totalsRowShown="0" headerRowDxfId="18" dataDxfId="16" headerRowBorderDxfId="17" tableBorderDxfId="15" headerRowCellStyle="Normal_Sheet1">
  <autoFilter ref="A2:D3" xr:uid="{9ED18AD5-2356-4FFF-8F4D-EB3D23A0CF0A}"/>
  <sortState xmlns:xlrd2="http://schemas.microsoft.com/office/spreadsheetml/2017/richdata2" ref="A3:D3">
    <sortCondition ref="D2:D3"/>
  </sortState>
  <tableColumns count="4">
    <tableColumn id="1" xr3:uid="{00DDC62E-DFD4-4C57-9FA1-EC2C4631A40E}" name="Ticker" dataDxfId="14"/>
    <tableColumn id="3" xr3:uid="{9225FF27-1E45-4D80-BFC4-CE8F7972428F}" name="Grupo" dataDxfId="13"/>
    <tableColumn id="4" xr3:uid="{0363FAB7-968B-4B00-AAC5-768DB6EB033A}" name="Valor Total Recebido (Líquido)" dataDxfId="12" dataCellStyle="Moeda"/>
    <tableColumn id="5" xr3:uid="{294C5A74-29EA-46FD-A4D3-AF3FFCCFAB24}" name="Data Pagamento" dataDxfId="11"/>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7168ABC-84EF-4999-936D-F0E27BED1D7C}" name="Tabela4" displayName="Tabela4" ref="A1:E27" totalsRowShown="0">
  <autoFilter ref="A1:E27" xr:uid="{17168ABC-84EF-4999-936D-F0E27BED1D7C}"/>
  <tableColumns count="5">
    <tableColumn id="1" xr3:uid="{A5881403-8839-414F-9114-EF4EC7F20634}" name="Mes" dataDxfId="10"/>
    <tableColumn id="2" xr3:uid="{9B3ED0A3-9E28-4346-A795-F864DEEF5D26}" name="Valor Atual" dataDxfId="9"/>
    <tableColumn id="3" xr3:uid="{31BE62F4-20CF-4EE7-89EB-95B4CA5AE8FD}" name="Investimento" dataDxfId="8"/>
    <tableColumn id="4" xr3:uid="{8C33145C-6D3E-47CF-97DD-EB4B3BCE3AF6}" name="Rantabilidade" dataDxfId="7" dataCellStyle="Porcentagem">
      <calculatedColumnFormula>IFERROR((B2/C2)-1,0)</calculatedColumnFormula>
    </tableColumn>
    <tableColumn id="5" xr3:uid="{5C1B5F7A-48E7-4B03-8DC4-D0CE60DFA65A}" name="CDI" dataDxfId="6" dataCellStyle="Porcentagem"/>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D00C72-D9E0-4025-87AA-AA26AF5191F7}" name="Tabela_Table_0" displayName="Tabela_Table_0" ref="A1:N28" tableType="queryTable" totalsRowShown="0">
  <autoFilter ref="A1:N28" xr:uid="{E5D00C72-D9E0-4025-87AA-AA26AF5191F7}"/>
  <tableColumns count="14">
    <tableColumn id="1" xr3:uid="{E19C043B-6EDF-4124-9B66-53B738647782}" uniqueName="1" name="Ano/Mês" queryTableFieldId="1"/>
    <tableColumn id="2" xr3:uid="{2B28E906-32F4-46EE-A0FD-850DAC6C5020}" uniqueName="2" name="Jan" queryTableFieldId="2"/>
    <tableColumn id="3" xr3:uid="{A2A432B5-2593-489D-81DC-845B13D71619}" uniqueName="3" name="Fev" queryTableFieldId="3"/>
    <tableColumn id="4" xr3:uid="{831F15AF-2AB0-4469-8141-5A853AB77DE4}" uniqueName="4" name="Mar" queryTableFieldId="4"/>
    <tableColumn id="5" xr3:uid="{4E946EE4-1442-4985-A75B-EDADD8328215}" uniqueName="5" name="Abr" queryTableFieldId="5"/>
    <tableColumn id="6" xr3:uid="{D75CF516-62C6-4D18-8291-2154E4315FE1}" uniqueName="6" name="Mai" queryTableFieldId="6"/>
    <tableColumn id="7" xr3:uid="{EEAAB077-6703-49CC-9E4E-769970496AA8}" uniqueName="7" name="Jun" queryTableFieldId="7"/>
    <tableColumn id="8" xr3:uid="{1AC733E4-9D13-4F78-9215-A65F38009378}" uniqueName="8" name="Jul" queryTableFieldId="8" dataDxfId="5"/>
    <tableColumn id="9" xr3:uid="{F44E68B8-6C37-4099-8DC0-6C634F8861CA}" uniqueName="9" name="Ago" queryTableFieldId="9" dataDxfId="4"/>
    <tableColumn id="10" xr3:uid="{1DB13B05-88F3-4509-BF7C-75FB5F1E9630}" uniqueName="10" name="Set" queryTableFieldId="10" dataDxfId="3"/>
    <tableColumn id="11" xr3:uid="{FBA325B5-5C37-490C-8213-D1E1A11B2B9A}" uniqueName="11" name="Out" queryTableFieldId="11" dataDxfId="2"/>
    <tableColumn id="12" xr3:uid="{D0BF994C-CA0E-4BEA-9B4B-1FF96A2237A4}" uniqueName="12" name="Nov" queryTableFieldId="12" dataDxfId="1"/>
    <tableColumn id="13" xr3:uid="{7C2B75DE-9B42-405F-BB8C-CFE139D216C7}" uniqueName="13" name="Dez" queryTableFieldId="13" dataDxfId="0"/>
    <tableColumn id="14" xr3:uid="{9879DB47-35D2-4BBA-A95F-9831725C603A}" uniqueName="14" name="Acumulado"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1.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FF7D0-232E-4C4A-B5C1-7BC7447E6FA5}">
  <sheetPr codeName="Sheet2"/>
  <dimension ref="A1:X20"/>
  <sheetViews>
    <sheetView showGridLines="0" tabSelected="1" zoomScaleNormal="100" workbookViewId="0">
      <selection activeCell="J9" sqref="J9"/>
    </sheetView>
  </sheetViews>
  <sheetFormatPr defaultRowHeight="12.75" x14ac:dyDescent="0.2"/>
  <cols>
    <col min="1" max="1" width="15.28515625" style="46" bestFit="1" customWidth="1"/>
    <col min="2" max="2" width="7.42578125" style="73" bestFit="1" customWidth="1"/>
    <col min="3" max="3" width="7.7109375" style="73" bestFit="1" customWidth="1"/>
    <col min="4" max="4" width="14.5703125" style="73" bestFit="1" customWidth="1"/>
    <col min="5" max="5" width="14.7109375" style="74" bestFit="1" customWidth="1"/>
    <col min="6" max="6" width="14.5703125" style="74" bestFit="1" customWidth="1"/>
    <col min="7" max="7" width="13.5703125" style="74" bestFit="1" customWidth="1"/>
    <col min="8" max="8" width="14.5703125" style="74" bestFit="1" customWidth="1"/>
    <col min="9" max="9" width="9.140625" style="46"/>
    <col min="10" max="10" width="18.5703125" style="46" bestFit="1" customWidth="1"/>
    <col min="11" max="11" width="13.5703125" style="46" bestFit="1" customWidth="1"/>
    <col min="12" max="12" width="12.7109375" style="46" bestFit="1" customWidth="1"/>
    <col min="13" max="13" width="17.28515625" style="46" bestFit="1" customWidth="1"/>
    <col min="14" max="15" width="9.140625" style="46"/>
    <col min="16" max="16" width="20.28515625" style="93" bestFit="1" customWidth="1"/>
    <col min="17" max="24" width="9.140625" style="92"/>
    <col min="25" max="16384" width="9.140625" style="46"/>
  </cols>
  <sheetData>
    <row r="1" spans="1:16" ht="13.5" thickBot="1" x14ac:dyDescent="0.25">
      <c r="B1" s="47">
        <f t="shared" ref="B1:H1" si="0">SUBTOTAL(9,B3:B6)</f>
        <v>0.99999999999999989</v>
      </c>
      <c r="C1" s="47">
        <f t="shared" si="0"/>
        <v>0</v>
      </c>
      <c r="D1" s="48">
        <f t="shared" si="0"/>
        <v>0</v>
      </c>
      <c r="E1" s="48">
        <f t="shared" si="0"/>
        <v>0</v>
      </c>
      <c r="F1" s="48">
        <f t="shared" si="0"/>
        <v>0</v>
      </c>
      <c r="G1" s="48">
        <f t="shared" si="0"/>
        <v>0</v>
      </c>
      <c r="H1" s="48">
        <f t="shared" si="0"/>
        <v>0</v>
      </c>
      <c r="J1" s="49" t="s">
        <v>22</v>
      </c>
      <c r="K1" s="50" t="s">
        <v>23</v>
      </c>
    </row>
    <row r="2" spans="1:16" ht="15.75" thickBot="1" x14ac:dyDescent="0.3">
      <c r="A2" s="51" t="s">
        <v>24</v>
      </c>
      <c r="B2" s="52" t="s">
        <v>25</v>
      </c>
      <c r="C2" s="53" t="s">
        <v>26</v>
      </c>
      <c r="D2" s="53" t="s">
        <v>27</v>
      </c>
      <c r="E2" s="53" t="s">
        <v>28</v>
      </c>
      <c r="F2" s="53" t="s">
        <v>2268</v>
      </c>
      <c r="G2" s="53" t="s">
        <v>29</v>
      </c>
      <c r="H2" s="54" t="s">
        <v>30</v>
      </c>
      <c r="J2" s="55">
        <f>E1</f>
        <v>0</v>
      </c>
      <c r="K2" s="56"/>
    </row>
    <row r="3" spans="1:16" x14ac:dyDescent="0.2">
      <c r="A3" s="57"/>
      <c r="B3" s="58">
        <v>0.05</v>
      </c>
      <c r="C3" s="59">
        <f>(E3/IF($J$2&gt;0,$J$2,1))</f>
        <v>0</v>
      </c>
      <c r="D3" s="60"/>
      <c r="E3" s="61"/>
      <c r="F3" s="61">
        <f>E3-D3</f>
        <v>0</v>
      </c>
      <c r="G3" s="61">
        <f>B3*($J$2+$K$2)</f>
        <v>0</v>
      </c>
      <c r="H3" s="62">
        <f>G3-E3</f>
        <v>0</v>
      </c>
    </row>
    <row r="4" spans="1:16" ht="15.75" thickBot="1" x14ac:dyDescent="0.3">
      <c r="A4" s="57"/>
      <c r="B4" s="58">
        <v>0.3</v>
      </c>
      <c r="C4" s="59">
        <f>(E4/IF($J$2&gt;0,$J$2,1))</f>
        <v>0</v>
      </c>
      <c r="D4" s="60"/>
      <c r="E4" s="61"/>
      <c r="F4" s="61">
        <f t="shared" ref="F4:F6" si="1">E4-D4</f>
        <v>0</v>
      </c>
      <c r="G4" s="61">
        <f>B4*($J$2+$K$2)</f>
        <v>0</v>
      </c>
      <c r="H4" s="62">
        <f>G4-E4</f>
        <v>0</v>
      </c>
      <c r="K4" s="63">
        <f>SUBTOTAL(9,K6:K10)</f>
        <v>0</v>
      </c>
      <c r="L4" s="63">
        <f>SUBTOTAL(9,L6:L10)</f>
        <v>0</v>
      </c>
      <c r="M4" s="63">
        <f>SUBTOTAL(9,M6:M9)</f>
        <v>209.13000000000011</v>
      </c>
    </row>
    <row r="5" spans="1:16" ht="15" x14ac:dyDescent="0.25">
      <c r="A5" s="57"/>
      <c r="B5" s="58">
        <v>0.3</v>
      </c>
      <c r="C5" s="59">
        <f>(E5/IF($J$2&gt;0,$J$2,1))</f>
        <v>0</v>
      </c>
      <c r="D5" s="60"/>
      <c r="E5" s="61"/>
      <c r="F5" s="61">
        <f t="shared" si="1"/>
        <v>0</v>
      </c>
      <c r="G5" s="61">
        <f>B5*($J$2+$K$2)</f>
        <v>0</v>
      </c>
      <c r="H5" s="62">
        <f>G5-E5</f>
        <v>0</v>
      </c>
      <c r="J5" s="64" t="s">
        <v>32</v>
      </c>
      <c r="K5" s="65" t="s">
        <v>33</v>
      </c>
      <c r="L5" s="65" t="s">
        <v>2270</v>
      </c>
      <c r="M5" s="65" t="s">
        <v>2268</v>
      </c>
    </row>
    <row r="6" spans="1:16" ht="15.75" thickBot="1" x14ac:dyDescent="0.3">
      <c r="A6" s="68"/>
      <c r="B6" s="69">
        <v>0.35</v>
      </c>
      <c r="C6" s="70">
        <f>(E6/IF($J$2&gt;0,$J$2,1))</f>
        <v>0</v>
      </c>
      <c r="D6" s="71"/>
      <c r="E6" s="72"/>
      <c r="F6" s="72">
        <f t="shared" si="1"/>
        <v>0</v>
      </c>
      <c r="G6" s="72">
        <f>B6*($J$2+$K$2)</f>
        <v>0</v>
      </c>
      <c r="H6" s="56">
        <f>G6-E6</f>
        <v>0</v>
      </c>
      <c r="J6" s="66"/>
      <c r="K6" s="67"/>
      <c r="L6" s="67"/>
      <c r="M6" s="67" t="str">
        <f>IF(LEN(K6)&gt;1,L6-K6,"")</f>
        <v/>
      </c>
    </row>
    <row r="7" spans="1:16" ht="15" x14ac:dyDescent="0.25">
      <c r="A7" s="174"/>
      <c r="B7" s="175"/>
      <c r="C7" s="175"/>
      <c r="D7" s="176"/>
      <c r="E7" s="48"/>
      <c r="F7" s="48"/>
      <c r="G7" s="48"/>
      <c r="H7" s="48"/>
      <c r="J7" s="66"/>
      <c r="K7" s="67"/>
      <c r="L7" s="67"/>
      <c r="M7" s="67" t="str">
        <f>IF(LEN(K7)&gt;1,L7-K7,"")</f>
        <v/>
      </c>
    </row>
    <row r="8" spans="1:16" ht="15" x14ac:dyDescent="0.25">
      <c r="J8" s="86"/>
      <c r="K8" s="67"/>
      <c r="L8" s="67"/>
      <c r="M8" s="67" t="str">
        <f>IF(LEN(K8)&gt;1,L8-K8,"")</f>
        <v/>
      </c>
      <c r="P8" s="94" t="s">
        <v>2277</v>
      </c>
    </row>
    <row r="9" spans="1:16" ht="15.75" thickBot="1" x14ac:dyDescent="0.3">
      <c r="J9" s="75"/>
      <c r="K9" s="76"/>
      <c r="L9" s="76"/>
      <c r="M9" s="76">
        <v>209.13000000000011</v>
      </c>
    </row>
    <row r="14" spans="1:16" x14ac:dyDescent="0.2">
      <c r="P14" s="94" t="s">
        <v>2275</v>
      </c>
    </row>
    <row r="20" spans="16:16" x14ac:dyDescent="0.2">
      <c r="P20" s="94" t="s">
        <v>2276</v>
      </c>
    </row>
  </sheetData>
  <sortState xmlns:xlrd2="http://schemas.microsoft.com/office/spreadsheetml/2017/richdata2" ref="J6:M10">
    <sortCondition ref="J6:J10"/>
  </sortState>
  <conditionalFormatting sqref="C11">
    <cfRule type="iconSet" priority="1">
      <iconSet iconSet="3Arrows">
        <cfvo type="percent" val="0"/>
        <cfvo type="num" val="0"/>
        <cfvo type="num" val="0"/>
      </iconSet>
    </cfRule>
  </conditionalFormatting>
  <dataValidations count="1">
    <dataValidation type="list" allowBlank="1" showInputMessage="1" showErrorMessage="1" sqref="I6:I7" xr:uid="{7571CFDB-E14A-47C7-9780-BE399D3FB108}">
      <formula1>"%Chg,P&amp;L"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Main">
                <anchor moveWithCells="1" sizeWithCells="1">
                  <from>
                    <xdr:col>15</xdr:col>
                    <xdr:colOff>209550</xdr:colOff>
                    <xdr:row>0</xdr:row>
                    <xdr:rowOff>161925</xdr:rowOff>
                  </from>
                  <to>
                    <xdr:col>15</xdr:col>
                    <xdr:colOff>1143000</xdr:colOff>
                    <xdr:row>2</xdr:row>
                    <xdr:rowOff>142875</xdr:rowOff>
                  </to>
                </anchor>
              </controlPr>
            </control>
          </mc:Choice>
        </mc:AlternateContent>
        <mc:AlternateContent xmlns:mc="http://schemas.openxmlformats.org/markup-compatibility/2006">
          <mc:Choice Requires="x14">
            <control shapeId="2059" r:id="rId5" name="Button 11">
              <controlPr defaultSize="0" print="0" autoFill="0" autoPict="0" macro="[0]!AdicionarMov">
                <anchor moveWithCells="1" sizeWithCells="1">
                  <from>
                    <xdr:col>16</xdr:col>
                    <xdr:colOff>142875</xdr:colOff>
                    <xdr:row>0</xdr:row>
                    <xdr:rowOff>104775</xdr:rowOff>
                  </from>
                  <to>
                    <xdr:col>17</xdr:col>
                    <xdr:colOff>466725</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P73"/>
  <sheetViews>
    <sheetView showGridLines="0" workbookViewId="0">
      <pane ySplit="4" topLeftCell="A5" activePane="bottomLeft" state="frozen"/>
      <selection pane="bottomLeft"/>
    </sheetView>
  </sheetViews>
  <sheetFormatPr defaultRowHeight="15" x14ac:dyDescent="0.25"/>
  <cols>
    <col min="1" max="2" width="16" style="30" customWidth="1"/>
    <col min="3" max="3" width="19" style="1" bestFit="1" customWidth="1"/>
    <col min="4" max="4" width="15.85546875" style="1" customWidth="1"/>
    <col min="5" max="5" width="28.7109375" bestFit="1" customWidth="1"/>
    <col min="6" max="6" width="13.7109375" bestFit="1" customWidth="1"/>
    <col min="7" max="7" width="1.7109375" style="10" customWidth="1"/>
    <col min="8" max="8" width="12.42578125" style="1" customWidth="1" collapsed="1"/>
    <col min="9" max="9" width="12.7109375" style="1" customWidth="1" collapsed="1"/>
    <col min="10" max="10" width="13.5703125" style="1" customWidth="1"/>
    <col min="11" max="11" width="17.5703125" style="1" bestFit="1" customWidth="1"/>
    <col min="12" max="12" width="12.7109375" style="1" customWidth="1" collapsed="1"/>
    <col min="13" max="13" width="11.5703125" style="1" bestFit="1" customWidth="1"/>
    <col min="14" max="14" width="12.28515625" bestFit="1" customWidth="1"/>
    <col min="15" max="15" width="5" style="1" customWidth="1"/>
    <col min="16" max="16" width="13.42578125" customWidth="1"/>
  </cols>
  <sheetData>
    <row r="1" spans="1:16" s="38" customFormat="1" ht="6.75" customHeight="1" thickBot="1" x14ac:dyDescent="0.3">
      <c r="A1" s="36"/>
      <c r="B1" s="36"/>
      <c r="C1" s="37"/>
      <c r="D1" s="37"/>
      <c r="G1" s="37"/>
      <c r="H1" s="37"/>
      <c r="I1" s="37"/>
      <c r="J1" s="37"/>
      <c r="K1" s="37"/>
      <c r="L1" s="37"/>
      <c r="M1" s="37"/>
      <c r="O1" s="37"/>
    </row>
    <row r="2" spans="1:16" ht="6" customHeight="1" x14ac:dyDescent="0.25">
      <c r="F2" s="3"/>
      <c r="G2" s="13"/>
    </row>
    <row r="3" spans="1:16" ht="21" customHeight="1" x14ac:dyDescent="0.25">
      <c r="E3" s="6"/>
      <c r="F3" s="7"/>
      <c r="H3" s="14">
        <f>SUM(H5:H73)</f>
        <v>0</v>
      </c>
      <c r="I3" s="14">
        <f>SUM(I5:I73)</f>
        <v>0</v>
      </c>
      <c r="J3" s="14">
        <f>SUM(J5:J73)</f>
        <v>0</v>
      </c>
      <c r="L3" s="20">
        <f>SUM(L5:L73)</f>
        <v>0</v>
      </c>
      <c r="M3" s="18"/>
    </row>
    <row r="4" spans="1:16" s="2" customFormat="1" ht="48.75" customHeight="1" x14ac:dyDescent="0.25">
      <c r="A4" s="88" t="s">
        <v>32</v>
      </c>
      <c r="B4" s="88" t="s">
        <v>35</v>
      </c>
      <c r="C4" s="88" t="s">
        <v>0</v>
      </c>
      <c r="D4" s="88" t="s">
        <v>11</v>
      </c>
      <c r="E4" s="88" t="s">
        <v>14</v>
      </c>
      <c r="F4" s="89" t="s">
        <v>1</v>
      </c>
      <c r="G4" s="90"/>
      <c r="H4" s="91" t="s">
        <v>20</v>
      </c>
      <c r="I4" s="91" t="s">
        <v>4</v>
      </c>
      <c r="J4" s="91" t="s">
        <v>2268</v>
      </c>
      <c r="K4" s="91" t="s">
        <v>2</v>
      </c>
      <c r="L4" s="91" t="s">
        <v>5</v>
      </c>
      <c r="M4" s="9"/>
    </row>
    <row r="5" spans="1:16" ht="15" customHeight="1" x14ac:dyDescent="0.25">
      <c r="A5" s="81"/>
      <c r="B5" s="81"/>
      <c r="C5" s="42"/>
      <c r="D5" s="43"/>
      <c r="E5" s="4"/>
      <c r="F5" s="5" t="str">
        <f>IF(LEN(C5)&gt;0,IFERROR(IF(B5="Exterior",VLOOKUP(C5,Range_Precos,2,FALSE)*Preços!$E$3,VLOOKUP(C5,Range_Precos,2,FALSE)),"Cadastrar"),"")</f>
        <v/>
      </c>
      <c r="G5" s="12"/>
      <c r="H5" s="17" t="str">
        <f t="shared" ref="H5:H36" si="0">IF(ISNUMBER(E5),D5*E5,"")</f>
        <v/>
      </c>
      <c r="I5" s="17" t="str">
        <f t="shared" ref="I5:I36" si="1">IF(ISNUMBER(F5),D5*F5,"")</f>
        <v/>
      </c>
      <c r="J5" s="16" t="str">
        <f t="shared" ref="J5:J36" si="2">IF(ISNUMBER(E5),D5*(F5-E5),"")</f>
        <v/>
      </c>
      <c r="K5" s="15" t="str">
        <f>IFERROR(IF(ISNUMBER(F5),F5/E5-1,""),F5/0.01-1)</f>
        <v/>
      </c>
      <c r="L5" s="19" t="str">
        <f t="shared" ref="L5:L36" si="3">IF(ISNUMBER(F5),I5/$I$3,"")</f>
        <v/>
      </c>
      <c r="M5" s="85"/>
    </row>
    <row r="6" spans="1:16" ht="15" customHeight="1" x14ac:dyDescent="0.25">
      <c r="A6" s="81"/>
      <c r="B6" s="81"/>
      <c r="C6" s="42"/>
      <c r="D6" s="43"/>
      <c r="E6" s="4"/>
      <c r="F6" s="5" t="str">
        <f>IF(LEN(C6)&gt;0,IFERROR(IF(B6="Exterior",VLOOKUP(C6,Range_Precos,2,FALSE)*Preços!$E$3,VLOOKUP(C6,Range_Precos,2,FALSE)),"Cadastrar"),"")</f>
        <v/>
      </c>
      <c r="G6" s="11"/>
      <c r="H6" s="17" t="str">
        <f t="shared" si="0"/>
        <v/>
      </c>
      <c r="I6" s="17" t="str">
        <f t="shared" si="1"/>
        <v/>
      </c>
      <c r="J6" s="16" t="str">
        <f t="shared" si="2"/>
        <v/>
      </c>
      <c r="K6" s="15" t="str">
        <f t="shared" ref="K6:K69" si="4">IFERROR(IF(ISNUMBER(F6),F6/E6-1,""),F6/0.01-1)</f>
        <v/>
      </c>
      <c r="L6" s="19" t="str">
        <f t="shared" si="3"/>
        <v/>
      </c>
      <c r="M6" s="8"/>
    </row>
    <row r="7" spans="1:16" ht="15" customHeight="1" x14ac:dyDescent="0.25">
      <c r="A7" s="81"/>
      <c r="B7" s="81"/>
      <c r="C7" s="42"/>
      <c r="D7" s="136"/>
      <c r="E7" s="4"/>
      <c r="F7" s="5" t="str">
        <f>IF(LEN(C7)&gt;0,IFERROR(IF(B7="Exterior",VLOOKUP(C7,Range_Precos,2,FALSE)*Preços!$E$3,VLOOKUP(C7,Range_Precos,2,FALSE)),"Cadastrar"),"")</f>
        <v/>
      </c>
      <c r="G7" s="11"/>
      <c r="H7" s="17" t="str">
        <f t="shared" si="0"/>
        <v/>
      </c>
      <c r="I7" s="17" t="str">
        <f t="shared" si="1"/>
        <v/>
      </c>
      <c r="J7" s="16" t="str">
        <f t="shared" si="2"/>
        <v/>
      </c>
      <c r="K7" s="15" t="str">
        <f t="shared" si="4"/>
        <v/>
      </c>
      <c r="L7" s="19" t="str">
        <f t="shared" si="3"/>
        <v/>
      </c>
      <c r="M7" s="8"/>
    </row>
    <row r="8" spans="1:16" ht="15" customHeight="1" x14ac:dyDescent="0.25">
      <c r="A8" s="81"/>
      <c r="B8" s="81"/>
      <c r="C8" s="42"/>
      <c r="D8" s="43"/>
      <c r="E8" s="4"/>
      <c r="F8" s="5" t="str">
        <f>IF(LEN(C8)&gt;0,IFERROR(IF(B8="Exterior",VLOOKUP(C8,Range_Precos,2,FALSE)*Preços!$E$3,VLOOKUP(C8,Range_Precos,2,FALSE)),"Cadastrar"),"")</f>
        <v/>
      </c>
      <c r="G8" s="11"/>
      <c r="H8" s="17" t="str">
        <f t="shared" si="0"/>
        <v/>
      </c>
      <c r="I8" s="17" t="str">
        <f t="shared" si="1"/>
        <v/>
      </c>
      <c r="J8" s="16" t="str">
        <f t="shared" si="2"/>
        <v/>
      </c>
      <c r="K8" s="15" t="str">
        <f t="shared" si="4"/>
        <v/>
      </c>
      <c r="L8" s="19" t="str">
        <f t="shared" si="3"/>
        <v/>
      </c>
      <c r="M8" s="8"/>
    </row>
    <row r="9" spans="1:16" ht="15" customHeight="1" x14ac:dyDescent="0.25">
      <c r="A9" s="81"/>
      <c r="B9" s="81"/>
      <c r="C9" s="42"/>
      <c r="D9" s="43"/>
      <c r="E9" s="4"/>
      <c r="F9" s="5" t="str">
        <f>IF(LEN(C9)&gt;0,IFERROR(IF(B9="Exterior",VLOOKUP(C9,Range_Precos,2,FALSE)*Preços!$E$3,VLOOKUP(C9,Range_Precos,2,FALSE)),"Cadastrar"),"")</f>
        <v/>
      </c>
      <c r="G9" s="11"/>
      <c r="H9" s="17" t="str">
        <f t="shared" si="0"/>
        <v/>
      </c>
      <c r="I9" s="17" t="str">
        <f t="shared" si="1"/>
        <v/>
      </c>
      <c r="J9" s="16" t="str">
        <f t="shared" si="2"/>
        <v/>
      </c>
      <c r="K9" s="15" t="str">
        <f t="shared" si="4"/>
        <v/>
      </c>
      <c r="L9" s="19" t="str">
        <f t="shared" si="3"/>
        <v/>
      </c>
      <c r="M9" s="8"/>
    </row>
    <row r="10" spans="1:16" ht="15" customHeight="1" x14ac:dyDescent="0.25">
      <c r="A10" s="81"/>
      <c r="B10" s="81"/>
      <c r="C10" s="42"/>
      <c r="D10" s="43"/>
      <c r="E10" s="4"/>
      <c r="F10" s="5" t="str">
        <f>IF(LEN(C10)&gt;0,IFERROR(IF(B10="Exterior",VLOOKUP(C10,Range_Precos,2,FALSE)*Preços!$E$3,VLOOKUP(C10,Range_Precos,2,FALSE)),"Cadastrar"),"")</f>
        <v/>
      </c>
      <c r="G10" s="11"/>
      <c r="H10" s="17" t="str">
        <f t="shared" si="0"/>
        <v/>
      </c>
      <c r="I10" s="17" t="str">
        <f t="shared" si="1"/>
        <v/>
      </c>
      <c r="J10" s="16" t="str">
        <f t="shared" si="2"/>
        <v/>
      </c>
      <c r="K10" s="15" t="str">
        <f t="shared" si="4"/>
        <v/>
      </c>
      <c r="L10" s="19" t="str">
        <f t="shared" si="3"/>
        <v/>
      </c>
      <c r="M10" s="8"/>
      <c r="N10" s="244"/>
      <c r="O10" s="244"/>
      <c r="P10" s="244"/>
    </row>
    <row r="11" spans="1:16" ht="15" customHeight="1" x14ac:dyDescent="0.25">
      <c r="A11" s="81"/>
      <c r="B11" s="81"/>
      <c r="C11" s="42"/>
      <c r="D11" s="136"/>
      <c r="E11" s="4"/>
      <c r="F11" s="5" t="str">
        <f>IF(LEN(C11)&gt;0,IFERROR(IF(B11="Exterior",VLOOKUP(C11,Range_Precos,2,FALSE)*Preços!$E$3,VLOOKUP(C11,Range_Precos,2,FALSE)),"Cadastrar"),"")</f>
        <v/>
      </c>
      <c r="G11" s="11"/>
      <c r="H11" s="17" t="str">
        <f t="shared" si="0"/>
        <v/>
      </c>
      <c r="I11" s="17" t="str">
        <f t="shared" si="1"/>
        <v/>
      </c>
      <c r="J11" s="16" t="str">
        <f t="shared" si="2"/>
        <v/>
      </c>
      <c r="K11" s="15" t="str">
        <f t="shared" si="4"/>
        <v/>
      </c>
      <c r="L11" s="19" t="str">
        <f t="shared" si="3"/>
        <v/>
      </c>
      <c r="M11" s="169"/>
      <c r="N11" s="169"/>
      <c r="O11" s="169"/>
    </row>
    <row r="12" spans="1:16" ht="15" customHeight="1" x14ac:dyDescent="0.25">
      <c r="A12" s="81"/>
      <c r="B12" s="81"/>
      <c r="C12" s="42"/>
      <c r="D12" s="43"/>
      <c r="E12" s="4"/>
      <c r="F12" s="5" t="str">
        <f>IF(LEN(C12)&gt;0,IFERROR(IF(B12="Exterior",VLOOKUP(C12,Range_Precos,2,FALSE)*Preços!$E$3,VLOOKUP(C12,Range_Precos,2,FALSE)),"Cadastrar"),"")</f>
        <v/>
      </c>
      <c r="G12" s="11"/>
      <c r="H12" s="17" t="str">
        <f t="shared" si="0"/>
        <v/>
      </c>
      <c r="I12" s="17" t="str">
        <f t="shared" si="1"/>
        <v/>
      </c>
      <c r="J12" s="16" t="str">
        <f t="shared" si="2"/>
        <v/>
      </c>
      <c r="K12" s="15" t="str">
        <f t="shared" si="4"/>
        <v/>
      </c>
      <c r="L12" s="19" t="str">
        <f t="shared" si="3"/>
        <v/>
      </c>
      <c r="M12" s="169"/>
      <c r="N12" s="169"/>
      <c r="O12" s="169"/>
    </row>
    <row r="13" spans="1:16" ht="15" customHeight="1" x14ac:dyDescent="0.25">
      <c r="A13" s="81"/>
      <c r="B13" s="81"/>
      <c r="C13" s="42"/>
      <c r="D13" s="43"/>
      <c r="E13" s="4"/>
      <c r="F13" s="5" t="str">
        <f>IF(LEN(C13)&gt;0,IFERROR(IF(B13="Exterior",VLOOKUP(C13,Range_Precos,2,FALSE)*Preços!$E$3,VLOOKUP(C13,Range_Precos,2,FALSE)),"Cadastrar"),"")</f>
        <v/>
      </c>
      <c r="G13" s="11"/>
      <c r="H13" s="17" t="str">
        <f t="shared" si="0"/>
        <v/>
      </c>
      <c r="I13" s="17" t="str">
        <f t="shared" si="1"/>
        <v/>
      </c>
      <c r="J13" s="16" t="str">
        <f t="shared" si="2"/>
        <v/>
      </c>
      <c r="K13" s="15" t="str">
        <f t="shared" si="4"/>
        <v/>
      </c>
      <c r="L13" s="19" t="str">
        <f t="shared" si="3"/>
        <v/>
      </c>
      <c r="O13"/>
    </row>
    <row r="14" spans="1:16" ht="15" customHeight="1" x14ac:dyDescent="0.25">
      <c r="A14" s="81"/>
      <c r="B14" s="81"/>
      <c r="C14" s="42"/>
      <c r="D14" s="136"/>
      <c r="E14" s="4"/>
      <c r="F14" s="5" t="str">
        <f>IF(LEN(C14)&gt;0,IFERROR(IF(B14="Exterior",VLOOKUP(C14,Range_Precos,2,FALSE)*Preços!$E$3,VLOOKUP(C14,Range_Precos,2,FALSE)),"Cadastrar"),"")</f>
        <v/>
      </c>
      <c r="G14" s="11"/>
      <c r="H14" s="17" t="str">
        <f t="shared" si="0"/>
        <v/>
      </c>
      <c r="I14" s="17" t="str">
        <f t="shared" si="1"/>
        <v/>
      </c>
      <c r="J14" s="16" t="str">
        <f t="shared" si="2"/>
        <v/>
      </c>
      <c r="K14" s="15" t="str">
        <f t="shared" si="4"/>
        <v/>
      </c>
      <c r="L14" s="19" t="str">
        <f t="shared" si="3"/>
        <v/>
      </c>
      <c r="O14"/>
    </row>
    <row r="15" spans="1:16" ht="15" customHeight="1" x14ac:dyDescent="0.25">
      <c r="A15" s="81"/>
      <c r="B15" s="81"/>
      <c r="C15" s="43"/>
      <c r="D15" s="136"/>
      <c r="E15" s="4"/>
      <c r="F15" s="5" t="str">
        <f>IF(LEN(C15)&gt;0,IFERROR(IF(B15="Exterior",VLOOKUP(C15,Range_Precos,2,FALSE)*Preços!$E$3,VLOOKUP(C15,Range_Precos,2,FALSE)),"Cadastrar"),"")</f>
        <v/>
      </c>
      <c r="G15" s="11"/>
      <c r="H15" s="17" t="str">
        <f t="shared" si="0"/>
        <v/>
      </c>
      <c r="I15" s="17" t="str">
        <f t="shared" si="1"/>
        <v/>
      </c>
      <c r="J15" s="16" t="str">
        <f t="shared" si="2"/>
        <v/>
      </c>
      <c r="K15" s="15" t="str">
        <f t="shared" si="4"/>
        <v/>
      </c>
      <c r="L15" s="19" t="str">
        <f t="shared" si="3"/>
        <v/>
      </c>
      <c r="O15"/>
    </row>
    <row r="16" spans="1:16" ht="15" customHeight="1" x14ac:dyDescent="0.25">
      <c r="A16" s="81"/>
      <c r="B16" s="81"/>
      <c r="C16" s="42"/>
      <c r="D16" s="136"/>
      <c r="E16" s="4"/>
      <c r="F16" s="5" t="str">
        <f>IF(LEN(C16)&gt;0,IFERROR(IF(B16="Exterior",VLOOKUP(C16,Range_Precos,2,FALSE)*Preços!$E$3,VLOOKUP(C16,Range_Precos,2,FALSE)),"Cadastrar"),"")</f>
        <v/>
      </c>
      <c r="G16" s="11"/>
      <c r="H16" s="17" t="str">
        <f t="shared" si="0"/>
        <v/>
      </c>
      <c r="I16" s="17" t="str">
        <f t="shared" si="1"/>
        <v/>
      </c>
      <c r="J16" s="16" t="str">
        <f t="shared" si="2"/>
        <v/>
      </c>
      <c r="K16" s="15" t="str">
        <f t="shared" si="4"/>
        <v/>
      </c>
      <c r="L16" s="19" t="str">
        <f t="shared" si="3"/>
        <v/>
      </c>
      <c r="O16"/>
    </row>
    <row r="17" spans="1:15" ht="15" customHeight="1" x14ac:dyDescent="0.25">
      <c r="A17" s="81"/>
      <c r="B17" s="81"/>
      <c r="C17" s="42"/>
      <c r="D17" s="43"/>
      <c r="E17" s="4"/>
      <c r="F17" s="5" t="str">
        <f>IF(LEN(C17)&gt;0,IFERROR(IF(B17="Exterior",VLOOKUP(C17,Range_Precos,2,FALSE)*Preços!$E$3,VLOOKUP(C17,Range_Precos,2,FALSE)),"Cadastrar"),"")</f>
        <v/>
      </c>
      <c r="G17" s="11"/>
      <c r="H17" s="17" t="str">
        <f t="shared" si="0"/>
        <v/>
      </c>
      <c r="I17" s="17" t="str">
        <f t="shared" si="1"/>
        <v/>
      </c>
      <c r="J17" s="16" t="str">
        <f t="shared" si="2"/>
        <v/>
      </c>
      <c r="K17" s="15" t="str">
        <f t="shared" si="4"/>
        <v/>
      </c>
      <c r="L17" s="19" t="str">
        <f t="shared" si="3"/>
        <v/>
      </c>
      <c r="O17"/>
    </row>
    <row r="18" spans="1:15" ht="15" customHeight="1" x14ac:dyDescent="0.25">
      <c r="A18" s="81"/>
      <c r="B18" s="81"/>
      <c r="C18" s="42"/>
      <c r="D18" s="43"/>
      <c r="E18" s="4"/>
      <c r="F18" s="5" t="str">
        <f>IF(LEN(C18)&gt;0,IFERROR(IF(B18="Exterior",VLOOKUP(C18,Range_Precos,2,FALSE)*Preços!$E$3,VLOOKUP(C18,Range_Precos,2,FALSE)),"Cadastrar"),"")</f>
        <v/>
      </c>
      <c r="G18" s="11"/>
      <c r="H18" s="17" t="str">
        <f t="shared" si="0"/>
        <v/>
      </c>
      <c r="I18" s="17" t="str">
        <f t="shared" si="1"/>
        <v/>
      </c>
      <c r="J18" s="16" t="str">
        <f t="shared" si="2"/>
        <v/>
      </c>
      <c r="K18" s="15" t="str">
        <f t="shared" si="4"/>
        <v/>
      </c>
      <c r="L18" s="19" t="str">
        <f t="shared" si="3"/>
        <v/>
      </c>
      <c r="O18"/>
    </row>
    <row r="19" spans="1:15" x14ac:dyDescent="0.25">
      <c r="A19" s="81"/>
      <c r="B19" s="81"/>
      <c r="C19" s="42"/>
      <c r="D19" s="43"/>
      <c r="E19" s="4"/>
      <c r="F19" s="5" t="str">
        <f>IF(LEN(C19)&gt;0,IFERROR(IF(B19="Exterior",VLOOKUP(C19,Range_Precos,2,FALSE)*Preços!$E$3,VLOOKUP(C19,Range_Precos,2,FALSE)),"Cadastrar"),"")</f>
        <v/>
      </c>
      <c r="G19" s="11"/>
      <c r="H19" s="17" t="str">
        <f t="shared" si="0"/>
        <v/>
      </c>
      <c r="I19" s="17" t="str">
        <f t="shared" si="1"/>
        <v/>
      </c>
      <c r="J19" s="16" t="str">
        <f t="shared" si="2"/>
        <v/>
      </c>
      <c r="K19" s="15" t="str">
        <f t="shared" si="4"/>
        <v/>
      </c>
      <c r="L19" s="19" t="str">
        <f t="shared" si="3"/>
        <v/>
      </c>
      <c r="O19"/>
    </row>
    <row r="20" spans="1:15" x14ac:dyDescent="0.25">
      <c r="A20" s="81"/>
      <c r="B20" s="81"/>
      <c r="C20" s="42"/>
      <c r="D20" s="136"/>
      <c r="E20" s="4"/>
      <c r="F20" s="5" t="str">
        <f>IF(LEN(C20)&gt;0,IFERROR(IF(B20="Exterior",VLOOKUP(C20,Range_Precos,2,FALSE)*Preços!$E$3,VLOOKUP(C20,Range_Precos,2,FALSE)),"Cadastrar"),"")</f>
        <v/>
      </c>
      <c r="G20" s="11"/>
      <c r="H20" s="17" t="str">
        <f t="shared" si="0"/>
        <v/>
      </c>
      <c r="I20" s="17" t="str">
        <f t="shared" si="1"/>
        <v/>
      </c>
      <c r="J20" s="16" t="str">
        <f t="shared" si="2"/>
        <v/>
      </c>
      <c r="K20" s="15" t="str">
        <f t="shared" si="4"/>
        <v/>
      </c>
      <c r="L20" s="19" t="str">
        <f t="shared" si="3"/>
        <v/>
      </c>
      <c r="M20" s="170"/>
      <c r="O20"/>
    </row>
    <row r="21" spans="1:15" x14ac:dyDescent="0.25">
      <c r="A21" s="81"/>
      <c r="B21" s="81"/>
      <c r="C21" s="42"/>
      <c r="D21" s="136"/>
      <c r="E21" s="4"/>
      <c r="F21" s="5" t="str">
        <f>IF(LEN(C21)&gt;0,IFERROR(IF(B21="Exterior",VLOOKUP(C21,Range_Precos,2,FALSE)*Preços!$E$3,VLOOKUP(C21,Range_Precos,2,FALSE)),"Cadastrar"),"")</f>
        <v/>
      </c>
      <c r="G21" s="11"/>
      <c r="H21" s="17" t="str">
        <f t="shared" si="0"/>
        <v/>
      </c>
      <c r="I21" s="17" t="str">
        <f t="shared" si="1"/>
        <v/>
      </c>
      <c r="J21" s="16" t="str">
        <f t="shared" si="2"/>
        <v/>
      </c>
      <c r="K21" s="15" t="str">
        <f t="shared" si="4"/>
        <v/>
      </c>
      <c r="L21" s="19" t="str">
        <f t="shared" si="3"/>
        <v/>
      </c>
      <c r="O21"/>
    </row>
    <row r="22" spans="1:15" x14ac:dyDescent="0.25">
      <c r="A22" s="81"/>
      <c r="B22" s="81"/>
      <c r="C22" s="42"/>
      <c r="D22" s="43"/>
      <c r="E22" s="4"/>
      <c r="F22" s="5" t="str">
        <f>IF(LEN(C22)&gt;0,IFERROR(IF(B22="Exterior",VLOOKUP(C22,Range_Precos,2,FALSE)*Preços!$E$3,VLOOKUP(C22,Range_Precos,2,FALSE)),"Cadastrar"),"")</f>
        <v/>
      </c>
      <c r="G22" s="11"/>
      <c r="H22" s="17" t="str">
        <f t="shared" si="0"/>
        <v/>
      </c>
      <c r="I22" s="17" t="str">
        <f t="shared" si="1"/>
        <v/>
      </c>
      <c r="J22" s="16" t="str">
        <f t="shared" si="2"/>
        <v/>
      </c>
      <c r="K22" s="15" t="str">
        <f t="shared" si="4"/>
        <v/>
      </c>
      <c r="L22" s="19" t="str">
        <f t="shared" si="3"/>
        <v/>
      </c>
      <c r="O22"/>
    </row>
    <row r="23" spans="1:15" x14ac:dyDescent="0.25">
      <c r="A23" s="81"/>
      <c r="B23" s="81"/>
      <c r="C23" s="43"/>
      <c r="D23" s="43"/>
      <c r="E23" s="4"/>
      <c r="F23" s="5" t="str">
        <f>IF(LEN(C23)&gt;0,IFERROR(IF(B23="Exterior",VLOOKUP(C23,Range_Precos,2,FALSE)*Preços!$E$3,VLOOKUP(C23,Range_Precos,2,FALSE)),"Cadastrar"),"")</f>
        <v/>
      </c>
      <c r="G23" s="11"/>
      <c r="H23" s="17" t="str">
        <f t="shared" si="0"/>
        <v/>
      </c>
      <c r="I23" s="17" t="str">
        <f t="shared" si="1"/>
        <v/>
      </c>
      <c r="J23" s="16" t="str">
        <f t="shared" si="2"/>
        <v/>
      </c>
      <c r="K23" s="15" t="str">
        <f t="shared" si="4"/>
        <v/>
      </c>
      <c r="L23" s="19" t="str">
        <f t="shared" si="3"/>
        <v/>
      </c>
      <c r="O23"/>
    </row>
    <row r="24" spans="1:15" x14ac:dyDescent="0.25">
      <c r="A24" s="81"/>
      <c r="B24" s="81"/>
      <c r="C24" s="42"/>
      <c r="D24" s="43"/>
      <c r="E24" s="4"/>
      <c r="F24" s="5" t="str">
        <f>IF(LEN(C24)&gt;0,IFERROR(IF(B24="Exterior",VLOOKUP(C24,Range_Precos,2,FALSE)*Preços!$E$3,VLOOKUP(C24,Range_Precos,2,FALSE)),"Cadastrar"),"")</f>
        <v/>
      </c>
      <c r="G24" s="11"/>
      <c r="H24" s="17" t="str">
        <f t="shared" si="0"/>
        <v/>
      </c>
      <c r="I24" s="17" t="str">
        <f t="shared" si="1"/>
        <v/>
      </c>
      <c r="J24" s="16" t="str">
        <f t="shared" si="2"/>
        <v/>
      </c>
      <c r="K24" s="15" t="str">
        <f t="shared" si="4"/>
        <v/>
      </c>
      <c r="L24" s="19" t="str">
        <f t="shared" si="3"/>
        <v/>
      </c>
      <c r="O24"/>
    </row>
    <row r="25" spans="1:15" x14ac:dyDescent="0.25">
      <c r="A25" s="81"/>
      <c r="B25" s="81"/>
      <c r="C25" s="42"/>
      <c r="D25" s="43"/>
      <c r="E25" s="4"/>
      <c r="F25" s="5" t="str">
        <f>IF(LEN(C25)&gt;0,IFERROR(IF(B25="Exterior",VLOOKUP(C25,Range_Precos,2,FALSE)*Preços!$E$3,VLOOKUP(C25,Range_Precos,2,FALSE)),"Cadastrar"),"")</f>
        <v/>
      </c>
      <c r="G25" s="11"/>
      <c r="H25" s="17" t="str">
        <f t="shared" si="0"/>
        <v/>
      </c>
      <c r="I25" s="17" t="str">
        <f t="shared" si="1"/>
        <v/>
      </c>
      <c r="J25" s="16" t="str">
        <f t="shared" si="2"/>
        <v/>
      </c>
      <c r="K25" s="15" t="str">
        <f t="shared" si="4"/>
        <v/>
      </c>
      <c r="L25" s="19" t="str">
        <f t="shared" si="3"/>
        <v/>
      </c>
      <c r="O25"/>
    </row>
    <row r="26" spans="1:15" x14ac:dyDescent="0.25">
      <c r="A26" s="81"/>
      <c r="B26" s="81"/>
      <c r="C26" s="42"/>
      <c r="D26" s="43"/>
      <c r="E26" s="4"/>
      <c r="F26" s="5" t="str">
        <f>IF(LEN(C26)&gt;0,IFERROR(IF(B26="Exterior",VLOOKUP(C26,Range_Precos,2,FALSE)*Preços!$E$3,VLOOKUP(C26,Range_Precos,2,FALSE)),"Cadastrar"),"")</f>
        <v/>
      </c>
      <c r="G26" s="11"/>
      <c r="H26" s="17" t="str">
        <f t="shared" si="0"/>
        <v/>
      </c>
      <c r="I26" s="17" t="str">
        <f t="shared" si="1"/>
        <v/>
      </c>
      <c r="J26" s="16" t="str">
        <f t="shared" si="2"/>
        <v/>
      </c>
      <c r="K26" s="15" t="str">
        <f t="shared" si="4"/>
        <v/>
      </c>
      <c r="L26" s="19" t="str">
        <f t="shared" si="3"/>
        <v/>
      </c>
      <c r="O26"/>
    </row>
    <row r="27" spans="1:15" x14ac:dyDescent="0.25">
      <c r="A27" s="81"/>
      <c r="B27" s="81"/>
      <c r="C27" s="42"/>
      <c r="D27" s="43"/>
      <c r="E27" s="4"/>
      <c r="F27" s="5" t="str">
        <f>IF(LEN(C27)&gt;0,IFERROR(IF(B27="Exterior",VLOOKUP(C27,Range_Precos,2,FALSE)*Preços!$E$3,VLOOKUP(C27,Range_Precos,2,FALSE)),"Cadastrar"),"")</f>
        <v/>
      </c>
      <c r="G27" s="11"/>
      <c r="H27" s="17" t="str">
        <f t="shared" si="0"/>
        <v/>
      </c>
      <c r="I27" s="17" t="str">
        <f t="shared" si="1"/>
        <v/>
      </c>
      <c r="J27" s="16" t="str">
        <f t="shared" si="2"/>
        <v/>
      </c>
      <c r="K27" s="15" t="str">
        <f t="shared" si="4"/>
        <v/>
      </c>
      <c r="L27" s="19" t="str">
        <f t="shared" si="3"/>
        <v/>
      </c>
      <c r="O27"/>
    </row>
    <row r="28" spans="1:15" x14ac:dyDescent="0.25">
      <c r="A28" s="81"/>
      <c r="B28" s="81"/>
      <c r="C28" s="42"/>
      <c r="D28" s="43"/>
      <c r="E28" s="4"/>
      <c r="F28" s="5" t="str">
        <f>IF(LEN(C28)&gt;0,IFERROR(IF(B28="Exterior",VLOOKUP(C28,Range_Precos,2,FALSE)*Preços!$E$3,VLOOKUP(C28,Range_Precos,2,FALSE)),"Cadastrar"),"")</f>
        <v/>
      </c>
      <c r="G28" s="11"/>
      <c r="H28" s="17" t="str">
        <f t="shared" si="0"/>
        <v/>
      </c>
      <c r="I28" s="17" t="str">
        <f t="shared" si="1"/>
        <v/>
      </c>
      <c r="J28" s="16" t="str">
        <f t="shared" si="2"/>
        <v/>
      </c>
      <c r="K28" s="15" t="str">
        <f t="shared" si="4"/>
        <v/>
      </c>
      <c r="L28" s="19" t="str">
        <f t="shared" si="3"/>
        <v/>
      </c>
      <c r="O28"/>
    </row>
    <row r="29" spans="1:15" x14ac:dyDescent="0.25">
      <c r="A29" s="81"/>
      <c r="B29" s="81"/>
      <c r="C29" s="42"/>
      <c r="D29" s="136"/>
      <c r="E29" s="4"/>
      <c r="F29" s="5" t="str">
        <f>IF(LEN(C29)&gt;0,IFERROR(IF(B29="Exterior",VLOOKUP(C29,Range_Precos,2,FALSE)*Preços!$E$3,VLOOKUP(C29,Range_Precos,2,FALSE)),"Cadastrar"),"")</f>
        <v/>
      </c>
      <c r="G29" s="11"/>
      <c r="H29" s="17" t="str">
        <f t="shared" si="0"/>
        <v/>
      </c>
      <c r="I29" s="17" t="str">
        <f t="shared" si="1"/>
        <v/>
      </c>
      <c r="J29" s="16" t="str">
        <f t="shared" si="2"/>
        <v/>
      </c>
      <c r="K29" s="15" t="str">
        <f t="shared" si="4"/>
        <v/>
      </c>
      <c r="L29" s="19" t="str">
        <f t="shared" si="3"/>
        <v/>
      </c>
      <c r="O29"/>
    </row>
    <row r="30" spans="1:15" x14ac:dyDescent="0.25">
      <c r="A30" s="81"/>
      <c r="B30" s="81"/>
      <c r="C30" s="42"/>
      <c r="D30" s="43"/>
      <c r="E30" s="4"/>
      <c r="F30" s="5" t="str">
        <f>IF(LEN(C30)&gt;0,IFERROR(IF(B30="Exterior",VLOOKUP(C30,Range_Precos,2,FALSE)*Preços!$E$3,VLOOKUP(C30,Range_Precos,2,FALSE)),"Cadastrar"),"")</f>
        <v/>
      </c>
      <c r="G30" s="11"/>
      <c r="H30" s="17" t="str">
        <f t="shared" si="0"/>
        <v/>
      </c>
      <c r="I30" s="17" t="str">
        <f t="shared" si="1"/>
        <v/>
      </c>
      <c r="J30" s="16" t="str">
        <f t="shared" si="2"/>
        <v/>
      </c>
      <c r="K30" s="15" t="str">
        <f t="shared" si="4"/>
        <v/>
      </c>
      <c r="L30" s="19" t="str">
        <f t="shared" si="3"/>
        <v/>
      </c>
      <c r="O30"/>
    </row>
    <row r="31" spans="1:15" x14ac:dyDescent="0.25">
      <c r="A31" s="81"/>
      <c r="B31" s="81"/>
      <c r="C31" s="42"/>
      <c r="D31" s="43"/>
      <c r="E31" s="4"/>
      <c r="F31" s="5" t="str">
        <f>IF(LEN(C31)&gt;0,IFERROR(IF(B31="Exterior",VLOOKUP(C31,Range_Precos,2,FALSE)*Preços!$E$3,VLOOKUP(C31,Range_Precos,2,FALSE)),"Cadastrar"),"")</f>
        <v/>
      </c>
      <c r="G31" s="11"/>
      <c r="H31" s="17" t="str">
        <f t="shared" si="0"/>
        <v/>
      </c>
      <c r="I31" s="17" t="str">
        <f t="shared" si="1"/>
        <v/>
      </c>
      <c r="J31" s="16" t="str">
        <f t="shared" si="2"/>
        <v/>
      </c>
      <c r="K31" s="15" t="str">
        <f t="shared" si="4"/>
        <v/>
      </c>
      <c r="L31" s="19" t="str">
        <f t="shared" si="3"/>
        <v/>
      </c>
      <c r="O31"/>
    </row>
    <row r="32" spans="1:15" x14ac:dyDescent="0.25">
      <c r="A32" s="81"/>
      <c r="B32" s="81"/>
      <c r="C32" s="42"/>
      <c r="D32" s="43"/>
      <c r="E32" s="4"/>
      <c r="F32" s="5" t="str">
        <f>IF(LEN(C32)&gt;0,IFERROR(IF(B32="Exterior",VLOOKUP(C32,Range_Precos,2,FALSE)*Preços!$E$3,VLOOKUP(C32,Range_Precos,2,FALSE)),"Cadastrar"),"")</f>
        <v/>
      </c>
      <c r="G32" s="11"/>
      <c r="H32" s="17" t="str">
        <f t="shared" si="0"/>
        <v/>
      </c>
      <c r="I32" s="17" t="str">
        <f t="shared" si="1"/>
        <v/>
      </c>
      <c r="J32" s="16" t="str">
        <f t="shared" si="2"/>
        <v/>
      </c>
      <c r="K32" s="15" t="str">
        <f t="shared" si="4"/>
        <v/>
      </c>
      <c r="L32" s="19" t="str">
        <f t="shared" si="3"/>
        <v/>
      </c>
      <c r="O32"/>
    </row>
    <row r="33" spans="1:13" x14ac:dyDescent="0.25">
      <c r="A33" s="81"/>
      <c r="B33" s="81"/>
      <c r="C33" s="42"/>
      <c r="D33" s="43"/>
      <c r="E33" s="4"/>
      <c r="F33" s="5" t="str">
        <f>IF(LEN(C33)&gt;0,IFERROR(IF(B33="Exterior",VLOOKUP(C33,Range_Precos,2,FALSE)*Preços!$E$3,VLOOKUP(C33,Range_Precos,2,FALSE)),"Cadastrar"),"")</f>
        <v/>
      </c>
      <c r="G33" s="11"/>
      <c r="H33" s="17" t="str">
        <f t="shared" si="0"/>
        <v/>
      </c>
      <c r="I33" s="17" t="str">
        <f t="shared" si="1"/>
        <v/>
      </c>
      <c r="J33" s="16" t="str">
        <f t="shared" si="2"/>
        <v/>
      </c>
      <c r="K33" s="15" t="str">
        <f t="shared" si="4"/>
        <v/>
      </c>
      <c r="L33" s="19" t="str">
        <f t="shared" si="3"/>
        <v/>
      </c>
      <c r="M33" s="8"/>
    </row>
    <row r="34" spans="1:13" x14ac:dyDescent="0.25">
      <c r="A34" s="81"/>
      <c r="B34" s="81"/>
      <c r="C34" s="42"/>
      <c r="D34" s="43"/>
      <c r="E34" s="4"/>
      <c r="F34" s="5" t="str">
        <f>IF(LEN(C34)&gt;0,IFERROR(IF(B34="Exterior",VLOOKUP(C34,Range_Precos,2,FALSE)*Preços!$E$3,VLOOKUP(C34,Range_Precos,2,FALSE)),"Cadastrar"),"")</f>
        <v/>
      </c>
      <c r="G34" s="11"/>
      <c r="H34" s="17" t="str">
        <f t="shared" si="0"/>
        <v/>
      </c>
      <c r="I34" s="17" t="str">
        <f t="shared" si="1"/>
        <v/>
      </c>
      <c r="J34" s="16" t="str">
        <f t="shared" si="2"/>
        <v/>
      </c>
      <c r="K34" s="15" t="str">
        <f t="shared" si="4"/>
        <v/>
      </c>
      <c r="L34" s="19" t="str">
        <f t="shared" si="3"/>
        <v/>
      </c>
      <c r="M34" s="8"/>
    </row>
    <row r="35" spans="1:13" x14ac:dyDescent="0.25">
      <c r="A35" s="81"/>
      <c r="B35" s="81"/>
      <c r="C35" s="42"/>
      <c r="D35" s="136"/>
      <c r="E35" s="4"/>
      <c r="F35" s="5" t="str">
        <f>IF(LEN(C35)&gt;0,IFERROR(IF(B35="Exterior",VLOOKUP(C35,Range_Precos,2,FALSE)*Preços!$E$3,VLOOKUP(C35,Range_Precos,2,FALSE)),"Cadastrar"),"")</f>
        <v/>
      </c>
      <c r="G35" s="11"/>
      <c r="H35" s="17" t="str">
        <f t="shared" si="0"/>
        <v/>
      </c>
      <c r="I35" s="17" t="str">
        <f t="shared" si="1"/>
        <v/>
      </c>
      <c r="J35" s="16" t="str">
        <f t="shared" si="2"/>
        <v/>
      </c>
      <c r="K35" s="15" t="str">
        <f t="shared" si="4"/>
        <v/>
      </c>
      <c r="L35" s="19" t="str">
        <f t="shared" si="3"/>
        <v/>
      </c>
      <c r="M35" s="8"/>
    </row>
    <row r="36" spans="1:13" x14ac:dyDescent="0.25">
      <c r="A36" s="81"/>
      <c r="B36" s="81"/>
      <c r="C36" s="42"/>
      <c r="D36" s="43"/>
      <c r="E36" s="4"/>
      <c r="F36" s="5" t="str">
        <f>IF(LEN(C36)&gt;0,IFERROR(IF(B36="Exterior",VLOOKUP(C36,Range_Precos,2,FALSE)*Preços!$E$3,VLOOKUP(C36,Range_Precos,2,FALSE)),"Cadastrar"),"")</f>
        <v/>
      </c>
      <c r="G36" s="11"/>
      <c r="H36" s="17" t="str">
        <f t="shared" si="0"/>
        <v/>
      </c>
      <c r="I36" s="17" t="str">
        <f t="shared" si="1"/>
        <v/>
      </c>
      <c r="J36" s="16" t="str">
        <f t="shared" si="2"/>
        <v/>
      </c>
      <c r="K36" s="15" t="str">
        <f t="shared" si="4"/>
        <v/>
      </c>
      <c r="L36" s="19" t="str">
        <f t="shared" si="3"/>
        <v/>
      </c>
      <c r="M36" s="8"/>
    </row>
    <row r="37" spans="1:13" x14ac:dyDescent="0.25">
      <c r="A37" s="81"/>
      <c r="B37" s="81"/>
      <c r="C37" s="43"/>
      <c r="D37" s="43"/>
      <c r="E37" s="4"/>
      <c r="F37" s="5" t="str">
        <f>IF(LEN(C37)&gt;0,IFERROR(IF(B37="Exterior",VLOOKUP(C37,Range_Precos,2,FALSE)*Preços!$E$3,VLOOKUP(C37,Range_Precos,2,FALSE)),"Cadastrar"),"")</f>
        <v/>
      </c>
      <c r="G37" s="11"/>
      <c r="H37" s="17" t="str">
        <f t="shared" ref="H37:H73" si="5">IF(ISNUMBER(E37),D37*E37,"")</f>
        <v/>
      </c>
      <c r="I37" s="17" t="str">
        <f t="shared" ref="I37:I73" si="6">IF(ISNUMBER(F37),D37*F37,"")</f>
        <v/>
      </c>
      <c r="J37" s="16" t="str">
        <f t="shared" ref="J37:J73" si="7">IF(ISNUMBER(E37),D37*(F37-E37),"")</f>
        <v/>
      </c>
      <c r="K37" s="15" t="str">
        <f t="shared" si="4"/>
        <v/>
      </c>
      <c r="L37" s="19" t="str">
        <f t="shared" ref="L37:L73" si="8">IF(ISNUMBER(F37),I37/$I$3,"")</f>
        <v/>
      </c>
      <c r="M37" s="8"/>
    </row>
    <row r="38" spans="1:13" x14ac:dyDescent="0.25">
      <c r="A38" s="81"/>
      <c r="B38" s="81"/>
      <c r="C38" s="42"/>
      <c r="D38" s="136"/>
      <c r="E38" s="4"/>
      <c r="F38" s="5" t="str">
        <f>IF(LEN(C38)&gt;0,IFERROR(IF(B38="Exterior",VLOOKUP(C38,Range_Precos,2,FALSE)*Preços!$E$3,VLOOKUP(C38,Range_Precos,2,FALSE)),"Cadastrar"),"")</f>
        <v/>
      </c>
      <c r="G38" s="11"/>
      <c r="H38" s="17" t="str">
        <f t="shared" si="5"/>
        <v/>
      </c>
      <c r="I38" s="17" t="str">
        <f t="shared" si="6"/>
        <v/>
      </c>
      <c r="J38" s="16" t="str">
        <f t="shared" si="7"/>
        <v/>
      </c>
      <c r="K38" s="15" t="str">
        <f t="shared" si="4"/>
        <v/>
      </c>
      <c r="L38" s="19" t="str">
        <f t="shared" si="8"/>
        <v/>
      </c>
      <c r="M38" s="8"/>
    </row>
    <row r="39" spans="1:13" x14ac:dyDescent="0.25">
      <c r="A39" s="81"/>
      <c r="B39" s="81"/>
      <c r="C39" s="42"/>
      <c r="D39" s="43"/>
      <c r="E39" s="4"/>
      <c r="F39" s="5" t="str">
        <f>IF(LEN(C39)&gt;0,IFERROR(IF(B39="Exterior",VLOOKUP(C39,Range_Precos,2,FALSE)*Preços!$E$3,VLOOKUP(C39,Range_Precos,2,FALSE)),"Cadastrar"),"")</f>
        <v/>
      </c>
      <c r="G39" s="11"/>
      <c r="H39" s="17" t="str">
        <f t="shared" si="5"/>
        <v/>
      </c>
      <c r="I39" s="17" t="str">
        <f t="shared" si="6"/>
        <v/>
      </c>
      <c r="J39" s="16" t="str">
        <f t="shared" si="7"/>
        <v/>
      </c>
      <c r="K39" s="15" t="str">
        <f t="shared" si="4"/>
        <v/>
      </c>
      <c r="L39" s="19" t="str">
        <f t="shared" si="8"/>
        <v/>
      </c>
      <c r="M39" s="8"/>
    </row>
    <row r="40" spans="1:13" x14ac:dyDescent="0.25">
      <c r="A40" s="81"/>
      <c r="B40" s="81"/>
      <c r="C40" s="42"/>
      <c r="D40" s="43"/>
      <c r="E40" s="4"/>
      <c r="F40" s="5" t="str">
        <f>IF(LEN(C40)&gt;0,IFERROR(IF(B40="Exterior",VLOOKUP(C40,Range_Precos,2,FALSE)*Preços!$E$3,VLOOKUP(C40,Range_Precos,2,FALSE)),"Cadastrar"),"")</f>
        <v/>
      </c>
      <c r="G40" s="11"/>
      <c r="H40" s="17" t="str">
        <f t="shared" si="5"/>
        <v/>
      </c>
      <c r="I40" s="17" t="str">
        <f t="shared" si="6"/>
        <v/>
      </c>
      <c r="J40" s="16" t="str">
        <f t="shared" si="7"/>
        <v/>
      </c>
      <c r="K40" s="15" t="str">
        <f t="shared" si="4"/>
        <v/>
      </c>
      <c r="L40" s="19" t="str">
        <f t="shared" si="8"/>
        <v/>
      </c>
      <c r="M40" s="8"/>
    </row>
    <row r="41" spans="1:13" x14ac:dyDescent="0.25">
      <c r="A41" s="81"/>
      <c r="B41" s="81"/>
      <c r="C41" s="41"/>
      <c r="D41" s="136"/>
      <c r="E41" s="4"/>
      <c r="F41" s="5" t="str">
        <f>IF(LEN(C41)&gt;0,IFERROR(IF(B41="Exterior",VLOOKUP(C41,Range_Precos,2,FALSE)*Preços!$E$3,VLOOKUP(C41,Range_Precos,2,FALSE)),"Cadastrar"),"")</f>
        <v/>
      </c>
      <c r="G41" s="11"/>
      <c r="H41" s="17" t="str">
        <f t="shared" si="5"/>
        <v/>
      </c>
      <c r="I41" s="17" t="str">
        <f t="shared" si="6"/>
        <v/>
      </c>
      <c r="J41" s="16" t="str">
        <f t="shared" si="7"/>
        <v/>
      </c>
      <c r="K41" s="15" t="str">
        <f t="shared" si="4"/>
        <v/>
      </c>
      <c r="L41" s="19" t="str">
        <f t="shared" si="8"/>
        <v/>
      </c>
      <c r="M41" s="8"/>
    </row>
    <row r="42" spans="1:13" x14ac:dyDescent="0.25">
      <c r="A42" s="81"/>
      <c r="B42" s="81"/>
      <c r="C42" s="165"/>
      <c r="D42" s="43"/>
      <c r="E42" s="4"/>
      <c r="F42" s="5" t="str">
        <f>IF(LEN(C42)&gt;0,IFERROR(IF(B42="Exterior",VLOOKUP(C42,Range_Precos,2,FALSE)*Preços!$E$3,VLOOKUP(C42,Range_Precos,2,FALSE)),"Cadastrar"),"")</f>
        <v/>
      </c>
      <c r="G42" s="11"/>
      <c r="H42" s="17" t="str">
        <f t="shared" si="5"/>
        <v/>
      </c>
      <c r="I42" s="17" t="str">
        <f t="shared" si="6"/>
        <v/>
      </c>
      <c r="J42" s="16" t="str">
        <f t="shared" si="7"/>
        <v/>
      </c>
      <c r="K42" s="15" t="str">
        <f t="shared" si="4"/>
        <v/>
      </c>
      <c r="L42" s="19" t="str">
        <f t="shared" si="8"/>
        <v/>
      </c>
      <c r="M42" s="8"/>
    </row>
    <row r="43" spans="1:13" x14ac:dyDescent="0.25">
      <c r="A43" s="81"/>
      <c r="B43" s="81"/>
      <c r="C43" s="42"/>
      <c r="D43" s="43"/>
      <c r="E43" s="4"/>
      <c r="F43" s="5" t="str">
        <f>IF(LEN(C43)&gt;0,IFERROR(IF(B43="Exterior",VLOOKUP(C43,Range_Precos,2,FALSE)*Preços!$E$3,VLOOKUP(C43,Range_Precos,2,FALSE)),"Cadastrar"),"")</f>
        <v/>
      </c>
      <c r="G43" s="11"/>
      <c r="H43" s="17" t="str">
        <f t="shared" si="5"/>
        <v/>
      </c>
      <c r="I43" s="17" t="str">
        <f t="shared" si="6"/>
        <v/>
      </c>
      <c r="J43" s="16" t="str">
        <f t="shared" si="7"/>
        <v/>
      </c>
      <c r="K43" s="15" t="str">
        <f t="shared" si="4"/>
        <v/>
      </c>
      <c r="L43" s="19" t="str">
        <f t="shared" si="8"/>
        <v/>
      </c>
      <c r="M43" s="8"/>
    </row>
    <row r="44" spans="1:13" x14ac:dyDescent="0.25">
      <c r="A44" s="81"/>
      <c r="B44" s="81"/>
      <c r="C44" s="42"/>
      <c r="D44" s="136"/>
      <c r="E44" s="4"/>
      <c r="F44" s="5" t="str">
        <f>IF(LEN(C44)&gt;0,IFERROR(IF(B44="Exterior",VLOOKUP(C44,Range_Precos,2,FALSE)*Preços!$E$3,VLOOKUP(C44,Range_Precos,2,FALSE)),"Cadastrar"),"")</f>
        <v/>
      </c>
      <c r="G44" s="11"/>
      <c r="H44" s="17" t="str">
        <f t="shared" si="5"/>
        <v/>
      </c>
      <c r="I44" s="17" t="str">
        <f t="shared" si="6"/>
        <v/>
      </c>
      <c r="J44" s="16" t="str">
        <f t="shared" si="7"/>
        <v/>
      </c>
      <c r="K44" s="15" t="str">
        <f t="shared" si="4"/>
        <v/>
      </c>
      <c r="L44" s="19" t="str">
        <f t="shared" si="8"/>
        <v/>
      </c>
      <c r="M44" s="8"/>
    </row>
    <row r="45" spans="1:13" x14ac:dyDescent="0.25">
      <c r="A45" s="81"/>
      <c r="B45" s="81"/>
      <c r="C45" s="42"/>
      <c r="D45" s="43"/>
      <c r="E45" s="4"/>
      <c r="F45" s="5" t="str">
        <f>IF(LEN(C45)&gt;0,IFERROR(IF(B45="Exterior",VLOOKUP(C45,Range_Precos,2,FALSE)*Preços!$E$3,VLOOKUP(C45,Range_Precos,2,FALSE)),"Cadastrar"),"")</f>
        <v/>
      </c>
      <c r="G45" s="11"/>
      <c r="H45" s="17" t="str">
        <f t="shared" si="5"/>
        <v/>
      </c>
      <c r="I45" s="17" t="str">
        <f t="shared" si="6"/>
        <v/>
      </c>
      <c r="J45" s="16" t="str">
        <f t="shared" si="7"/>
        <v/>
      </c>
      <c r="K45" s="15" t="str">
        <f t="shared" si="4"/>
        <v/>
      </c>
      <c r="L45" s="19" t="str">
        <f t="shared" si="8"/>
        <v/>
      </c>
      <c r="M45" s="8"/>
    </row>
    <row r="46" spans="1:13" x14ac:dyDescent="0.25">
      <c r="A46" s="81"/>
      <c r="B46" s="81"/>
      <c r="C46" s="42"/>
      <c r="D46" s="136"/>
      <c r="E46" s="4"/>
      <c r="F46" s="5" t="str">
        <f>IF(LEN(C46)&gt;0,IFERROR(IF(B46="Exterior",VLOOKUP(C46,Range_Precos,2,FALSE)*Preços!$E$3,VLOOKUP(C46,Range_Precos,2,FALSE)),"Cadastrar"),"")</f>
        <v/>
      </c>
      <c r="G46" s="11"/>
      <c r="H46" s="17" t="str">
        <f t="shared" si="5"/>
        <v/>
      </c>
      <c r="I46" s="17" t="str">
        <f t="shared" si="6"/>
        <v/>
      </c>
      <c r="J46" s="16" t="str">
        <f t="shared" si="7"/>
        <v/>
      </c>
      <c r="K46" s="15" t="str">
        <f t="shared" si="4"/>
        <v/>
      </c>
      <c r="L46" s="19" t="str">
        <f t="shared" si="8"/>
        <v/>
      </c>
      <c r="M46" s="8"/>
    </row>
    <row r="47" spans="1:13" x14ac:dyDescent="0.25">
      <c r="A47" s="81"/>
      <c r="B47" s="81"/>
      <c r="C47" s="42"/>
      <c r="D47" s="136"/>
      <c r="E47" s="4"/>
      <c r="F47" s="5" t="str">
        <f>IF(LEN(C47)&gt;0,IFERROR(IF(B47="Exterior",VLOOKUP(C47,Range_Precos,2,FALSE)*Preços!$E$3,VLOOKUP(C47,Range_Precos,2,FALSE)),"Cadastrar"),"")</f>
        <v/>
      </c>
      <c r="G47" s="11"/>
      <c r="H47" s="17" t="str">
        <f t="shared" si="5"/>
        <v/>
      </c>
      <c r="I47" s="17" t="str">
        <f t="shared" si="6"/>
        <v/>
      </c>
      <c r="J47" s="16" t="str">
        <f t="shared" si="7"/>
        <v/>
      </c>
      <c r="K47" s="15" t="str">
        <f t="shared" si="4"/>
        <v/>
      </c>
      <c r="L47" s="19" t="str">
        <f t="shared" si="8"/>
        <v/>
      </c>
      <c r="M47" s="8"/>
    </row>
    <row r="48" spans="1:13" x14ac:dyDescent="0.25">
      <c r="A48" s="81"/>
      <c r="B48" s="81"/>
      <c r="C48" s="42"/>
      <c r="D48" s="43"/>
      <c r="E48" s="4"/>
      <c r="F48" s="5" t="str">
        <f>IF(LEN(C48)&gt;0,IFERROR(IF(B48="Exterior",VLOOKUP(C48,Range_Precos,2,FALSE)*Preços!$E$3,VLOOKUP(C48,Range_Precos,2,FALSE)),"Cadastrar"),"")</f>
        <v/>
      </c>
      <c r="G48" s="11"/>
      <c r="H48" s="17" t="str">
        <f t="shared" si="5"/>
        <v/>
      </c>
      <c r="I48" s="17" t="str">
        <f t="shared" si="6"/>
        <v/>
      </c>
      <c r="J48" s="16" t="str">
        <f t="shared" si="7"/>
        <v/>
      </c>
      <c r="K48" s="15" t="str">
        <f t="shared" si="4"/>
        <v/>
      </c>
      <c r="L48" s="19" t="str">
        <f t="shared" si="8"/>
        <v/>
      </c>
      <c r="M48" s="8"/>
    </row>
    <row r="49" spans="1:13" x14ac:dyDescent="0.25">
      <c r="A49" s="81"/>
      <c r="B49" s="81"/>
      <c r="C49" s="42"/>
      <c r="D49" s="43"/>
      <c r="E49" s="4"/>
      <c r="F49" s="5" t="str">
        <f>IF(LEN(C49)&gt;0,IFERROR(IF(B49="Exterior",VLOOKUP(C49,Range_Precos,2,FALSE)*Preços!$E$3,VLOOKUP(C49,Range_Precos,2,FALSE)),"Cadastrar"),"")</f>
        <v/>
      </c>
      <c r="G49" s="11"/>
      <c r="H49" s="17" t="str">
        <f t="shared" si="5"/>
        <v/>
      </c>
      <c r="I49" s="17" t="str">
        <f t="shared" si="6"/>
        <v/>
      </c>
      <c r="J49" s="16" t="str">
        <f t="shared" si="7"/>
        <v/>
      </c>
      <c r="K49" s="15" t="str">
        <f t="shared" si="4"/>
        <v/>
      </c>
      <c r="L49" s="19" t="str">
        <f t="shared" si="8"/>
        <v/>
      </c>
      <c r="M49" s="8"/>
    </row>
    <row r="50" spans="1:13" x14ac:dyDescent="0.25">
      <c r="A50" s="81"/>
      <c r="B50" s="81"/>
      <c r="C50" s="42"/>
      <c r="D50" s="43"/>
      <c r="E50" s="4"/>
      <c r="F50" s="5" t="str">
        <f>IF(LEN(C50)&gt;0,IFERROR(IF(B50="Exterior",VLOOKUP(C50,Range_Precos,2,FALSE)*Preços!$E$3,VLOOKUP(C50,Range_Precos,2,FALSE)),"Cadastrar"),"")</f>
        <v/>
      </c>
      <c r="G50" s="11"/>
      <c r="H50" s="17" t="str">
        <f t="shared" si="5"/>
        <v/>
      </c>
      <c r="I50" s="17" t="str">
        <f t="shared" si="6"/>
        <v/>
      </c>
      <c r="J50" s="16" t="str">
        <f t="shared" si="7"/>
        <v/>
      </c>
      <c r="K50" s="15" t="str">
        <f t="shared" si="4"/>
        <v/>
      </c>
      <c r="L50" s="19" t="str">
        <f t="shared" si="8"/>
        <v/>
      </c>
      <c r="M50" s="8"/>
    </row>
    <row r="51" spans="1:13" x14ac:dyDescent="0.25">
      <c r="A51" s="81"/>
      <c r="B51" s="81"/>
      <c r="C51" s="42"/>
      <c r="D51" s="136"/>
      <c r="E51" s="4"/>
      <c r="F51" s="5" t="str">
        <f>IF(LEN(C51)&gt;0,IFERROR(IF(B51="Exterior",VLOOKUP(C51,Range_Precos,2,FALSE)*Preços!$E$3,VLOOKUP(C51,Range_Precos,2,FALSE)),"Cadastrar"),"")</f>
        <v/>
      </c>
      <c r="G51" s="11"/>
      <c r="H51" s="17" t="str">
        <f t="shared" si="5"/>
        <v/>
      </c>
      <c r="I51" s="17" t="str">
        <f t="shared" si="6"/>
        <v/>
      </c>
      <c r="J51" s="16" t="str">
        <f t="shared" si="7"/>
        <v/>
      </c>
      <c r="K51" s="15" t="str">
        <f t="shared" si="4"/>
        <v/>
      </c>
      <c r="L51" s="19" t="str">
        <f t="shared" si="8"/>
        <v/>
      </c>
      <c r="M51" s="8"/>
    </row>
    <row r="52" spans="1:13" x14ac:dyDescent="0.25">
      <c r="A52" s="81"/>
      <c r="B52" s="81"/>
      <c r="C52" s="42"/>
      <c r="D52" s="43"/>
      <c r="E52" s="4"/>
      <c r="F52" s="5" t="str">
        <f>IF(LEN(C52)&gt;0,IFERROR(IF(B52="Exterior",VLOOKUP(C52,Range_Precos,2,FALSE)*Preços!$E$3,VLOOKUP(C52,Range_Precos,2,FALSE)),"Cadastrar"),"")</f>
        <v/>
      </c>
      <c r="G52" s="11"/>
      <c r="H52" s="17" t="str">
        <f t="shared" si="5"/>
        <v/>
      </c>
      <c r="I52" s="17" t="str">
        <f t="shared" si="6"/>
        <v/>
      </c>
      <c r="J52" s="16" t="str">
        <f t="shared" si="7"/>
        <v/>
      </c>
      <c r="K52" s="15" t="str">
        <f t="shared" si="4"/>
        <v/>
      </c>
      <c r="L52" s="19" t="str">
        <f t="shared" si="8"/>
        <v/>
      </c>
      <c r="M52" s="8"/>
    </row>
    <row r="53" spans="1:13" x14ac:dyDescent="0.25">
      <c r="A53" s="81"/>
      <c r="B53" s="81"/>
      <c r="C53" s="42"/>
      <c r="D53" s="136"/>
      <c r="E53" s="4"/>
      <c r="F53" s="5" t="str">
        <f>IF(LEN(C53)&gt;0,IFERROR(IF(B53="Exterior",VLOOKUP(C53,Range_Precos,2,FALSE)*Preços!$E$3,VLOOKUP(C53,Range_Precos,2,FALSE)),"Cadastrar"),"")</f>
        <v/>
      </c>
      <c r="G53" s="11"/>
      <c r="H53" s="17" t="str">
        <f t="shared" si="5"/>
        <v/>
      </c>
      <c r="I53" s="17" t="str">
        <f t="shared" si="6"/>
        <v/>
      </c>
      <c r="J53" s="16" t="str">
        <f t="shared" si="7"/>
        <v/>
      </c>
      <c r="K53" s="15" t="str">
        <f t="shared" si="4"/>
        <v/>
      </c>
      <c r="L53" s="19" t="str">
        <f t="shared" si="8"/>
        <v/>
      </c>
      <c r="M53" s="8"/>
    </row>
    <row r="54" spans="1:13" x14ac:dyDescent="0.25">
      <c r="A54" s="81"/>
      <c r="B54" s="81"/>
      <c r="C54" s="42"/>
      <c r="D54" s="43"/>
      <c r="E54" s="4"/>
      <c r="F54" s="5" t="str">
        <f>IF(LEN(C54)&gt;0,IFERROR(IF(B54="Exterior",VLOOKUP(C54,Range_Precos,2,FALSE)*Preços!$E$3,VLOOKUP(C54,Range_Precos,2,FALSE)),"Cadastrar"),"")</f>
        <v/>
      </c>
      <c r="G54" s="11"/>
      <c r="H54" s="17" t="str">
        <f t="shared" si="5"/>
        <v/>
      </c>
      <c r="I54" s="17" t="str">
        <f t="shared" si="6"/>
        <v/>
      </c>
      <c r="J54" s="16" t="str">
        <f t="shared" si="7"/>
        <v/>
      </c>
      <c r="K54" s="15" t="str">
        <f t="shared" si="4"/>
        <v/>
      </c>
      <c r="L54" s="19" t="str">
        <f t="shared" si="8"/>
        <v/>
      </c>
      <c r="M54" s="8"/>
    </row>
    <row r="55" spans="1:13" x14ac:dyDescent="0.25">
      <c r="A55" s="81"/>
      <c r="B55" s="81"/>
      <c r="C55" s="42"/>
      <c r="D55" s="43"/>
      <c r="E55" s="4"/>
      <c r="F55" s="5" t="str">
        <f>IF(LEN(C55)&gt;0,IFERROR(IF(B55="Exterior",VLOOKUP(C55,Range_Precos,2,FALSE)*Preços!$E$3,VLOOKUP(C55,Range_Precos,2,FALSE)),"Cadastrar"),"")</f>
        <v/>
      </c>
      <c r="G55" s="11"/>
      <c r="H55" s="17" t="str">
        <f t="shared" si="5"/>
        <v/>
      </c>
      <c r="I55" s="17" t="str">
        <f t="shared" si="6"/>
        <v/>
      </c>
      <c r="J55" s="16" t="str">
        <f t="shared" si="7"/>
        <v/>
      </c>
      <c r="K55" s="15" t="str">
        <f t="shared" si="4"/>
        <v/>
      </c>
      <c r="L55" s="19" t="str">
        <f t="shared" si="8"/>
        <v/>
      </c>
      <c r="M55" s="8"/>
    </row>
    <row r="56" spans="1:13" x14ac:dyDescent="0.25">
      <c r="A56" s="81"/>
      <c r="B56" s="81"/>
      <c r="C56" s="42"/>
      <c r="D56" s="43"/>
      <c r="E56" s="4"/>
      <c r="F56" s="5" t="str">
        <f>IF(LEN(C56)&gt;0,IFERROR(IF(B56="Exterior",VLOOKUP(C56,Range_Precos,2,FALSE)*Preços!$E$3,VLOOKUP(C56,Range_Precos,2,FALSE)),"Cadastrar"),"")</f>
        <v/>
      </c>
      <c r="G56" s="11"/>
      <c r="H56" s="17" t="str">
        <f t="shared" si="5"/>
        <v/>
      </c>
      <c r="I56" s="17" t="str">
        <f t="shared" si="6"/>
        <v/>
      </c>
      <c r="J56" s="16" t="str">
        <f t="shared" si="7"/>
        <v/>
      </c>
      <c r="K56" s="15" t="str">
        <f t="shared" si="4"/>
        <v/>
      </c>
      <c r="L56" s="19" t="str">
        <f t="shared" si="8"/>
        <v/>
      </c>
      <c r="M56" s="8"/>
    </row>
    <row r="57" spans="1:13" x14ac:dyDescent="0.25">
      <c r="A57" s="81"/>
      <c r="B57" s="81"/>
      <c r="C57" s="42"/>
      <c r="D57" s="43"/>
      <c r="E57" s="4"/>
      <c r="F57" s="5" t="str">
        <f>IF(LEN(C57)&gt;0,IFERROR(IF(B57="Exterior",VLOOKUP(C57,Range_Precos,2,FALSE)*Preços!$E$3,VLOOKUP(C57,Range_Precos,2,FALSE)),"Cadastrar"),"")</f>
        <v/>
      </c>
      <c r="G57" s="11"/>
      <c r="H57" s="17" t="str">
        <f t="shared" si="5"/>
        <v/>
      </c>
      <c r="I57" s="17" t="str">
        <f t="shared" si="6"/>
        <v/>
      </c>
      <c r="J57" s="16" t="str">
        <f t="shared" si="7"/>
        <v/>
      </c>
      <c r="K57" s="15" t="str">
        <f t="shared" si="4"/>
        <v/>
      </c>
      <c r="L57" s="19" t="str">
        <f t="shared" si="8"/>
        <v/>
      </c>
      <c r="M57" s="8"/>
    </row>
    <row r="58" spans="1:13" x14ac:dyDescent="0.25">
      <c r="A58" s="81"/>
      <c r="B58" s="81"/>
      <c r="C58" s="42"/>
      <c r="D58" s="43"/>
      <c r="E58" s="4"/>
      <c r="F58" s="5" t="str">
        <f>IF(LEN(C58)&gt;0,IFERROR(IF(B58="Exterior",VLOOKUP(C58,Range_Precos,2,FALSE)*Preços!$E$3,VLOOKUP(C58,Range_Precos,2,FALSE)),"Cadastrar"),"")</f>
        <v/>
      </c>
      <c r="G58" s="11"/>
      <c r="H58" s="17" t="str">
        <f t="shared" si="5"/>
        <v/>
      </c>
      <c r="I58" s="17" t="str">
        <f t="shared" si="6"/>
        <v/>
      </c>
      <c r="J58" s="16" t="str">
        <f t="shared" si="7"/>
        <v/>
      </c>
      <c r="K58" s="15" t="str">
        <f t="shared" si="4"/>
        <v/>
      </c>
      <c r="L58" s="19" t="str">
        <f t="shared" si="8"/>
        <v/>
      </c>
      <c r="M58" s="8"/>
    </row>
    <row r="59" spans="1:13" x14ac:dyDescent="0.25">
      <c r="A59" s="81"/>
      <c r="B59" s="81"/>
      <c r="C59" s="42"/>
      <c r="D59" s="43"/>
      <c r="E59" s="4"/>
      <c r="F59" s="5" t="str">
        <f>IF(LEN(C59)&gt;0,IFERROR(IF(B59="Exterior",VLOOKUP(C59,Range_Precos,2,FALSE)*Preços!$E$3,VLOOKUP(C59,Range_Precos,2,FALSE)),"Cadastrar"),"")</f>
        <v/>
      </c>
      <c r="G59" s="11"/>
      <c r="H59" s="17" t="str">
        <f t="shared" si="5"/>
        <v/>
      </c>
      <c r="I59" s="17" t="str">
        <f t="shared" si="6"/>
        <v/>
      </c>
      <c r="J59" s="16" t="str">
        <f t="shared" si="7"/>
        <v/>
      </c>
      <c r="K59" s="15" t="str">
        <f t="shared" si="4"/>
        <v/>
      </c>
      <c r="L59" s="19" t="str">
        <f t="shared" si="8"/>
        <v/>
      </c>
      <c r="M59" s="8"/>
    </row>
    <row r="60" spans="1:13" x14ac:dyDescent="0.25">
      <c r="A60" s="81"/>
      <c r="B60" s="81"/>
      <c r="C60" s="42"/>
      <c r="D60" s="43"/>
      <c r="E60" s="4"/>
      <c r="F60" s="5" t="str">
        <f>IF(LEN(C60)&gt;0,IFERROR(IF(B60="Exterior",VLOOKUP(C60,Range_Precos,2,FALSE)*Preços!$E$3,VLOOKUP(C60,Range_Precos,2,FALSE)),"Cadastrar"),"")</f>
        <v/>
      </c>
      <c r="G60" s="11"/>
      <c r="H60" s="17" t="str">
        <f t="shared" si="5"/>
        <v/>
      </c>
      <c r="I60" s="17" t="str">
        <f t="shared" si="6"/>
        <v/>
      </c>
      <c r="J60" s="16" t="str">
        <f t="shared" si="7"/>
        <v/>
      </c>
      <c r="K60" s="15" t="str">
        <f t="shared" si="4"/>
        <v/>
      </c>
      <c r="L60" s="19" t="str">
        <f t="shared" si="8"/>
        <v/>
      </c>
      <c r="M60" s="8"/>
    </row>
    <row r="61" spans="1:13" x14ac:dyDescent="0.25">
      <c r="A61" s="81"/>
      <c r="B61" s="81"/>
      <c r="C61" s="42"/>
      <c r="D61" s="43"/>
      <c r="E61" s="4"/>
      <c r="F61" s="5" t="str">
        <f>IF(LEN(C61)&gt;0,IFERROR(IF(B61="Exterior",VLOOKUP(C61,Range_Precos,2,FALSE)*Preços!$E$3,VLOOKUP(C61,Range_Precos,2,FALSE)),"Cadastrar"),"")</f>
        <v/>
      </c>
      <c r="G61" s="11"/>
      <c r="H61" s="17" t="str">
        <f t="shared" si="5"/>
        <v/>
      </c>
      <c r="I61" s="17" t="str">
        <f t="shared" si="6"/>
        <v/>
      </c>
      <c r="J61" s="16" t="str">
        <f t="shared" si="7"/>
        <v/>
      </c>
      <c r="K61" s="15" t="str">
        <f t="shared" si="4"/>
        <v/>
      </c>
      <c r="L61" s="19" t="str">
        <f t="shared" si="8"/>
        <v/>
      </c>
      <c r="M61" s="8"/>
    </row>
    <row r="62" spans="1:13" x14ac:dyDescent="0.25">
      <c r="A62" s="81"/>
      <c r="B62" s="81"/>
      <c r="C62" s="42"/>
      <c r="D62" s="43"/>
      <c r="E62" s="4"/>
      <c r="F62" s="5" t="str">
        <f>IF(LEN(C62)&gt;0,IFERROR(IF(B62="Exterior",VLOOKUP(C62,Range_Precos,2,FALSE)*Preços!$E$3,VLOOKUP(C62,Range_Precos,2,FALSE)),"Cadastrar"),"")</f>
        <v/>
      </c>
      <c r="G62" s="11"/>
      <c r="H62" s="17" t="str">
        <f t="shared" si="5"/>
        <v/>
      </c>
      <c r="I62" s="17" t="str">
        <f t="shared" si="6"/>
        <v/>
      </c>
      <c r="J62" s="16" t="str">
        <f t="shared" si="7"/>
        <v/>
      </c>
      <c r="K62" s="15" t="str">
        <f t="shared" si="4"/>
        <v/>
      </c>
      <c r="L62" s="19" t="str">
        <f t="shared" si="8"/>
        <v/>
      </c>
      <c r="M62" s="8"/>
    </row>
    <row r="63" spans="1:13" x14ac:dyDescent="0.25">
      <c r="A63" s="81"/>
      <c r="B63" s="81"/>
      <c r="C63" s="42"/>
      <c r="D63" s="43"/>
      <c r="E63" s="4"/>
      <c r="F63" s="5" t="str">
        <f>IF(LEN(C63)&gt;0,IFERROR(IF(B63="Exterior",VLOOKUP(C63,Range_Precos,2,FALSE)*Preços!$E$3,VLOOKUP(C63,Range_Precos,2,FALSE)),"Cadastrar"),"")</f>
        <v/>
      </c>
      <c r="G63" s="11"/>
      <c r="H63" s="17" t="str">
        <f t="shared" si="5"/>
        <v/>
      </c>
      <c r="I63" s="17" t="str">
        <f t="shared" si="6"/>
        <v/>
      </c>
      <c r="J63" s="16" t="str">
        <f t="shared" si="7"/>
        <v/>
      </c>
      <c r="K63" s="15" t="str">
        <f t="shared" si="4"/>
        <v/>
      </c>
      <c r="L63" s="19" t="str">
        <f t="shared" si="8"/>
        <v/>
      </c>
      <c r="M63" s="8"/>
    </row>
    <row r="64" spans="1:13" x14ac:dyDescent="0.25">
      <c r="A64" s="81"/>
      <c r="B64" s="81"/>
      <c r="C64" s="42"/>
      <c r="D64" s="43"/>
      <c r="E64" s="4"/>
      <c r="F64" s="5" t="str">
        <f>IF(LEN(C64)&gt;0,IFERROR(IF(B64="Exterior",VLOOKUP(C64,Range_Precos,2,FALSE)*Preços!$E$3,VLOOKUP(C64,Range_Precos,2,FALSE)),"Cadastrar"),"")</f>
        <v/>
      </c>
      <c r="G64" s="11"/>
      <c r="H64" s="17" t="str">
        <f t="shared" si="5"/>
        <v/>
      </c>
      <c r="I64" s="17" t="str">
        <f t="shared" si="6"/>
        <v/>
      </c>
      <c r="J64" s="16" t="str">
        <f t="shared" si="7"/>
        <v/>
      </c>
      <c r="K64" s="15" t="str">
        <f t="shared" si="4"/>
        <v/>
      </c>
      <c r="L64" s="19" t="str">
        <f t="shared" si="8"/>
        <v/>
      </c>
      <c r="M64" s="8"/>
    </row>
    <row r="65" spans="1:13" x14ac:dyDescent="0.25">
      <c r="A65" s="81"/>
      <c r="B65" s="81"/>
      <c r="C65" s="42"/>
      <c r="D65" s="43"/>
      <c r="E65" s="4"/>
      <c r="F65" s="5" t="str">
        <f>IF(LEN(C65)&gt;0,IFERROR(IF(B65="Exterior",VLOOKUP(C65,Range_Precos,2,FALSE)*Preços!$E$3,VLOOKUP(C65,Range_Precos,2,FALSE)),"Cadastrar"),"")</f>
        <v/>
      </c>
      <c r="G65" s="11"/>
      <c r="H65" s="17" t="str">
        <f t="shared" si="5"/>
        <v/>
      </c>
      <c r="I65" s="17" t="str">
        <f t="shared" si="6"/>
        <v/>
      </c>
      <c r="J65" s="16" t="str">
        <f t="shared" si="7"/>
        <v/>
      </c>
      <c r="K65" s="15" t="str">
        <f t="shared" si="4"/>
        <v/>
      </c>
      <c r="L65" s="19" t="str">
        <f t="shared" si="8"/>
        <v/>
      </c>
      <c r="M65" s="8"/>
    </row>
    <row r="66" spans="1:13" x14ac:dyDescent="0.25">
      <c r="A66" s="81"/>
      <c r="B66" s="81"/>
      <c r="C66" s="42"/>
      <c r="D66" s="43"/>
      <c r="E66" s="4"/>
      <c r="F66" s="5" t="str">
        <f>IF(LEN(C66)&gt;0,IFERROR(IF(B66="Exterior",VLOOKUP(C66,Range_Precos,2,FALSE)*Preços!$E$3,VLOOKUP(C66,Range_Precos,2,FALSE)),"Cadastrar"),"")</f>
        <v/>
      </c>
      <c r="G66" s="11"/>
      <c r="H66" s="17" t="str">
        <f t="shared" si="5"/>
        <v/>
      </c>
      <c r="I66" s="17" t="str">
        <f t="shared" si="6"/>
        <v/>
      </c>
      <c r="J66" s="16" t="str">
        <f t="shared" si="7"/>
        <v/>
      </c>
      <c r="K66" s="15" t="str">
        <f t="shared" si="4"/>
        <v/>
      </c>
      <c r="L66" s="19" t="str">
        <f t="shared" si="8"/>
        <v/>
      </c>
      <c r="M66" s="8"/>
    </row>
    <row r="67" spans="1:13" x14ac:dyDescent="0.25">
      <c r="A67" s="81"/>
      <c r="B67" s="81"/>
      <c r="C67" s="42"/>
      <c r="D67" s="43"/>
      <c r="E67" s="4"/>
      <c r="F67" s="5" t="str">
        <f>IF(LEN(C67)&gt;0,IFERROR(IF(B67="Exterior",VLOOKUP(C67,Range_Precos,2,FALSE)*Preços!$E$3,VLOOKUP(C67,Range_Precos,2,FALSE)),"Cadastrar"),"")</f>
        <v/>
      </c>
      <c r="G67" s="11"/>
      <c r="H67" s="17" t="str">
        <f t="shared" si="5"/>
        <v/>
      </c>
      <c r="I67" s="17" t="str">
        <f t="shared" si="6"/>
        <v/>
      </c>
      <c r="J67" s="16" t="str">
        <f t="shared" si="7"/>
        <v/>
      </c>
      <c r="K67" s="15" t="str">
        <f t="shared" si="4"/>
        <v/>
      </c>
      <c r="L67" s="19" t="str">
        <f t="shared" si="8"/>
        <v/>
      </c>
      <c r="M67" s="8"/>
    </row>
    <row r="68" spans="1:13" x14ac:dyDescent="0.25">
      <c r="A68" s="81"/>
      <c r="B68" s="81"/>
      <c r="C68" s="42"/>
      <c r="D68" s="43"/>
      <c r="E68" s="4"/>
      <c r="F68" s="5" t="str">
        <f>IF(LEN(C68)&gt;0,IFERROR(IF(B68="Exterior",VLOOKUP(C68,Range_Precos,2,FALSE)*Preços!$E$3,VLOOKUP(C68,Range_Precos,2,FALSE)),"Cadastrar"),"")</f>
        <v/>
      </c>
      <c r="G68" s="11"/>
      <c r="H68" s="17" t="str">
        <f t="shared" si="5"/>
        <v/>
      </c>
      <c r="I68" s="17" t="str">
        <f t="shared" si="6"/>
        <v/>
      </c>
      <c r="J68" s="16" t="str">
        <f t="shared" si="7"/>
        <v/>
      </c>
      <c r="K68" s="15" t="str">
        <f t="shared" si="4"/>
        <v/>
      </c>
      <c r="L68" s="19" t="str">
        <f t="shared" si="8"/>
        <v/>
      </c>
      <c r="M68" s="8"/>
    </row>
    <row r="69" spans="1:13" x14ac:dyDescent="0.25">
      <c r="A69" s="81"/>
      <c r="B69" s="81"/>
      <c r="C69" s="42"/>
      <c r="D69" s="43"/>
      <c r="E69" s="4"/>
      <c r="F69" s="5" t="str">
        <f>IF(LEN(C69)&gt;0,IFERROR(IF(B69="Exterior",VLOOKUP(C69,Range_Precos,2,FALSE)*Preços!$E$3,VLOOKUP(C69,Range_Precos,2,FALSE)),"Cadastrar"),"")</f>
        <v/>
      </c>
      <c r="G69" s="11"/>
      <c r="H69" s="17" t="str">
        <f t="shared" si="5"/>
        <v/>
      </c>
      <c r="I69" s="17" t="str">
        <f t="shared" si="6"/>
        <v/>
      </c>
      <c r="J69" s="16" t="str">
        <f t="shared" si="7"/>
        <v/>
      </c>
      <c r="K69" s="15" t="str">
        <f t="shared" si="4"/>
        <v/>
      </c>
      <c r="L69" s="19" t="str">
        <f t="shared" si="8"/>
        <v/>
      </c>
      <c r="M69" s="8"/>
    </row>
    <row r="70" spans="1:13" x14ac:dyDescent="0.25">
      <c r="A70" s="81"/>
      <c r="B70" s="81"/>
      <c r="C70" s="42"/>
      <c r="D70" s="43"/>
      <c r="E70" s="4"/>
      <c r="F70" s="5" t="str">
        <f>IF(LEN(C70)&gt;0,IFERROR(IF(B70="Exterior",VLOOKUP(C70,Range_Precos,2,FALSE)*Preços!$E$3,VLOOKUP(C70,Range_Precos,2,FALSE)),"Cadastrar"),"")</f>
        <v/>
      </c>
      <c r="G70" s="11"/>
      <c r="H70" s="17" t="str">
        <f t="shared" si="5"/>
        <v/>
      </c>
      <c r="I70" s="17" t="str">
        <f t="shared" si="6"/>
        <v/>
      </c>
      <c r="J70" s="16" t="str">
        <f t="shared" si="7"/>
        <v/>
      </c>
      <c r="K70" s="15" t="str">
        <f t="shared" ref="K70:K73" si="9">IFERROR(IF(ISNUMBER(F70),F70/E70-1,""),F70/0.01-1)</f>
        <v/>
      </c>
      <c r="L70" s="19" t="str">
        <f t="shared" si="8"/>
        <v/>
      </c>
      <c r="M70" s="8"/>
    </row>
    <row r="71" spans="1:13" x14ac:dyDescent="0.25">
      <c r="A71" s="81"/>
      <c r="B71" s="81"/>
      <c r="C71" s="42"/>
      <c r="D71" s="43"/>
      <c r="E71" s="4"/>
      <c r="F71" s="5" t="str">
        <f>IF(LEN(C71)&gt;0,IFERROR(IF(B71="Exterior",VLOOKUP(C71,Range_Precos,2,FALSE)*Preços!$E$3,VLOOKUP(C71,Range_Precos,2,FALSE)),"Cadastrar"),"")</f>
        <v/>
      </c>
      <c r="G71" s="11"/>
      <c r="H71" s="17" t="str">
        <f t="shared" si="5"/>
        <v/>
      </c>
      <c r="I71" s="17" t="str">
        <f t="shared" si="6"/>
        <v/>
      </c>
      <c r="J71" s="16" t="str">
        <f t="shared" si="7"/>
        <v/>
      </c>
      <c r="K71" s="15" t="str">
        <f t="shared" si="9"/>
        <v/>
      </c>
      <c r="L71" s="19" t="str">
        <f t="shared" si="8"/>
        <v/>
      </c>
      <c r="M71" s="8"/>
    </row>
    <row r="72" spans="1:13" x14ac:dyDescent="0.25">
      <c r="A72" s="81"/>
      <c r="B72" s="81"/>
      <c r="C72" s="44"/>
      <c r="D72" s="43"/>
      <c r="E72" s="4"/>
      <c r="F72" s="5" t="str">
        <f>IF(LEN(C72)&gt;0,IFERROR(IF(B72="Exterior",VLOOKUP(C72,Range_Precos,2,FALSE)*Preços!$E$3,VLOOKUP(C72,Range_Precos,2,FALSE)),"Cadastrar"),"")</f>
        <v/>
      </c>
      <c r="G72" s="11"/>
      <c r="H72" s="17" t="str">
        <f t="shared" si="5"/>
        <v/>
      </c>
      <c r="I72" s="17" t="str">
        <f t="shared" si="6"/>
        <v/>
      </c>
      <c r="J72" s="16" t="str">
        <f t="shared" si="7"/>
        <v/>
      </c>
      <c r="K72" s="15" t="str">
        <f t="shared" si="9"/>
        <v/>
      </c>
      <c r="L72" s="19" t="str">
        <f t="shared" si="8"/>
        <v/>
      </c>
      <c r="M72" s="8"/>
    </row>
    <row r="73" spans="1:13" x14ac:dyDescent="0.25">
      <c r="A73" s="81"/>
      <c r="B73" s="81"/>
      <c r="C73" s="44"/>
      <c r="D73" s="43"/>
      <c r="E73" s="4"/>
      <c r="F73" s="5" t="str">
        <f>IF(LEN(C73)&gt;0,IFERROR(IF(B73="Exterior",VLOOKUP(C73,Range_Precos,2,FALSE)*Preços!$E$3,VLOOKUP(C73,Range_Precos,2,FALSE)),"Cadastrar"),"")</f>
        <v/>
      </c>
      <c r="G73" s="11"/>
      <c r="H73" s="17" t="str">
        <f t="shared" si="5"/>
        <v/>
      </c>
      <c r="I73" s="17" t="str">
        <f t="shared" si="6"/>
        <v/>
      </c>
      <c r="J73" s="16" t="str">
        <f t="shared" si="7"/>
        <v/>
      </c>
      <c r="K73" s="15" t="str">
        <f t="shared" si="9"/>
        <v/>
      </c>
      <c r="L73" s="19" t="str">
        <f t="shared" si="8"/>
        <v/>
      </c>
      <c r="M73" s="8"/>
    </row>
  </sheetData>
  <sortState xmlns:xlrd2="http://schemas.microsoft.com/office/spreadsheetml/2017/richdata2" ref="A5:F73">
    <sortCondition ref="B5"/>
    <sortCondition descending="1" ref="D5"/>
  </sortState>
  <mergeCells count="1">
    <mergeCell ref="N10:P10"/>
  </mergeCells>
  <conditionalFormatting sqref="K5:K73">
    <cfRule type="iconSet" priority="9">
      <iconSet iconSet="3Arrows">
        <cfvo type="percent" val="0"/>
        <cfvo type="num" val="0"/>
        <cfvo type="num" val="0"/>
      </iconSet>
    </cfRule>
  </conditionalFormatting>
  <conditionalFormatting sqref="G5:G73">
    <cfRule type="iconSet" priority="1">
      <iconSet iconSet="3Arrows">
        <cfvo type="percent" val="0"/>
        <cfvo type="num" val="0"/>
        <cfvo type="num" val="0"/>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Main">
                <anchor moveWithCells="1" sizeWithCells="1">
                  <from>
                    <xdr:col>0</xdr:col>
                    <xdr:colOff>47625</xdr:colOff>
                    <xdr:row>1</xdr:row>
                    <xdr:rowOff>38100</xdr:rowOff>
                  </from>
                  <to>
                    <xdr:col>0</xdr:col>
                    <xdr:colOff>942975</xdr:colOff>
                    <xdr:row>2</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411B7-EFFE-4C9F-9490-A65FDD2FF943}">
  <sheetPr codeName="Planilha6"/>
  <dimension ref="A1:P1"/>
  <sheetViews>
    <sheetView workbookViewId="0">
      <pane ySplit="1" topLeftCell="A190" activePane="bottomLeft" state="frozen"/>
      <selection pane="bottomLeft" activeCell="E222" sqref="E222"/>
    </sheetView>
  </sheetViews>
  <sheetFormatPr defaultRowHeight="15" x14ac:dyDescent="0.25"/>
  <cols>
    <col min="1" max="1" width="10.7109375" style="1" bestFit="1" customWidth="1"/>
    <col min="2" max="2" width="11.42578125" style="1" bestFit="1" customWidth="1"/>
    <col min="3" max="3" width="10.7109375" style="1" customWidth="1"/>
    <col min="4" max="4" width="9.140625" style="1"/>
    <col min="5" max="5" width="34.5703125" style="1" bestFit="1" customWidth="1"/>
    <col min="6" max="6" width="21" style="80" bestFit="1" customWidth="1"/>
    <col min="7" max="7" width="11" style="78" bestFit="1" customWidth="1"/>
    <col min="8" max="8" width="11.5703125" style="78" bestFit="1" customWidth="1"/>
    <col min="9" max="9" width="9.28515625" style="78" bestFit="1" customWidth="1"/>
    <col min="10" max="14" width="9.140625" style="1"/>
    <col min="15" max="15" width="10.85546875" style="1" bestFit="1" customWidth="1"/>
    <col min="16" max="16" width="9.140625" style="1"/>
    <col min="17" max="18" width="12" style="1" bestFit="1" customWidth="1"/>
    <col min="19" max="16384" width="9.140625" style="1"/>
  </cols>
  <sheetData>
    <row r="1" spans="1:16" x14ac:dyDescent="0.25">
      <c r="A1" s="31" t="s">
        <v>10</v>
      </c>
      <c r="B1" s="31" t="s">
        <v>32</v>
      </c>
      <c r="C1" s="31" t="s">
        <v>35</v>
      </c>
      <c r="D1" s="31" t="s">
        <v>13</v>
      </c>
      <c r="E1" s="31" t="s">
        <v>3</v>
      </c>
      <c r="F1" s="79" t="s">
        <v>11</v>
      </c>
      <c r="G1" s="77" t="s">
        <v>12</v>
      </c>
      <c r="H1" s="77" t="s">
        <v>15</v>
      </c>
      <c r="I1" s="77" t="s">
        <v>16</v>
      </c>
      <c r="P1" s="39"/>
    </row>
  </sheetData>
  <autoFilter ref="A1:I1" xr:uid="{EB9411B7-EFFE-4C9F-9490-A65FDD2FF943}"/>
  <pageMargins left="0.511811024" right="0.511811024" top="0.78740157499999996" bottom="0.78740157499999996" header="0.31496062000000002" footer="0.31496062000000002"/>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74933-A3D1-4706-A933-2555072461E7}">
  <sheetPr codeName="Planilha7"/>
  <dimension ref="A1:T68"/>
  <sheetViews>
    <sheetView showGridLines="0" topLeftCell="A33" workbookViewId="0">
      <selection activeCell="D56" sqref="D56:D68"/>
    </sheetView>
  </sheetViews>
  <sheetFormatPr defaultColWidth="9.28515625" defaultRowHeight="15" x14ac:dyDescent="0.25"/>
  <cols>
    <col min="1" max="1" width="12.7109375" style="21" bestFit="1" customWidth="1"/>
    <col min="2" max="2" width="11.42578125" style="104" bestFit="1" customWidth="1"/>
    <col min="3" max="3" width="10.42578125" style="104" bestFit="1" customWidth="1"/>
    <col min="4" max="4" width="10" style="21" bestFit="1" customWidth="1"/>
    <col min="5" max="5" width="10.5703125" style="106" bestFit="1" customWidth="1"/>
    <col min="6" max="6" width="15.7109375" style="110" bestFit="1" customWidth="1"/>
    <col min="7" max="7" width="12.85546875" style="106" bestFit="1" customWidth="1"/>
    <col min="8" max="8" width="10.5703125" style="106" bestFit="1" customWidth="1"/>
    <col min="9" max="9" width="12.28515625" style="106" bestFit="1" customWidth="1"/>
    <col min="10" max="10" width="15.7109375" style="110" bestFit="1" customWidth="1"/>
    <col min="11" max="11" width="15.7109375" bestFit="1" customWidth="1"/>
    <col min="12" max="12" width="17" hidden="1" customWidth="1"/>
    <col min="13" max="13" width="4.42578125" customWidth="1"/>
    <col min="14" max="14" width="19" bestFit="1" customWidth="1"/>
    <col min="15" max="15" width="14.5703125" bestFit="1" customWidth="1"/>
    <col min="16" max="16" width="14.5703125" customWidth="1"/>
    <col min="17" max="17" width="10.7109375" bestFit="1" customWidth="1"/>
    <col min="18" max="18" width="8.140625" bestFit="1" customWidth="1"/>
  </cols>
  <sheetData>
    <row r="1" spans="1:20" ht="15.75" thickBot="1" x14ac:dyDescent="0.3">
      <c r="B1" s="104">
        <f>SUBTOTAL(9,B3:B9)</f>
        <v>0</v>
      </c>
      <c r="C1" s="104">
        <f>SUBTOTAL(9,C3:C9)</f>
        <v>0</v>
      </c>
      <c r="D1" s="21">
        <f>SUBTOTAL(3,D3:D9)</f>
        <v>0</v>
      </c>
      <c r="F1" s="110">
        <f t="shared" ref="F1:L1" si="0">SUBTOTAL(9,F3:F9)</f>
        <v>0</v>
      </c>
      <c r="G1" s="106">
        <f t="shared" si="0"/>
        <v>0</v>
      </c>
      <c r="H1" s="106">
        <f t="shared" si="0"/>
        <v>0</v>
      </c>
      <c r="I1" s="106">
        <f t="shared" ca="1" si="0"/>
        <v>0</v>
      </c>
      <c r="J1" s="110">
        <f t="shared" ca="1" si="0"/>
        <v>0</v>
      </c>
      <c r="K1" s="216">
        <f t="shared" ca="1" si="0"/>
        <v>0</v>
      </c>
      <c r="L1" s="212" t="e">
        <f t="shared" si="0"/>
        <v>#DIV/0!</v>
      </c>
      <c r="M1" s="110"/>
    </row>
    <row r="2" spans="1:20" x14ac:dyDescent="0.25">
      <c r="A2" s="95" t="s">
        <v>35</v>
      </c>
      <c r="B2" s="96" t="s">
        <v>2274</v>
      </c>
      <c r="C2" s="96" t="s">
        <v>26</v>
      </c>
      <c r="D2" s="96" t="s">
        <v>0</v>
      </c>
      <c r="E2" s="107" t="s">
        <v>2278</v>
      </c>
      <c r="F2" s="112" t="s">
        <v>2280</v>
      </c>
      <c r="G2" s="107" t="s">
        <v>4</v>
      </c>
      <c r="H2" s="107" t="s">
        <v>29</v>
      </c>
      <c r="I2" s="107" t="s">
        <v>23</v>
      </c>
      <c r="J2" s="111" t="s">
        <v>2918</v>
      </c>
      <c r="K2" s="217" t="s">
        <v>2919</v>
      </c>
      <c r="L2" s="213" t="s">
        <v>2920</v>
      </c>
      <c r="M2" s="183"/>
      <c r="N2" s="49" t="s">
        <v>2281</v>
      </c>
      <c r="O2" s="100">
        <f>G1</f>
        <v>0</v>
      </c>
      <c r="P2" s="48"/>
    </row>
    <row r="3" spans="1:20" x14ac:dyDescent="0.25">
      <c r="A3" s="157" t="s">
        <v>17</v>
      </c>
      <c r="B3" s="184">
        <v>0</v>
      </c>
      <c r="C3" s="185">
        <f>(G3/IF($O$2&gt;0,$O$2,1))</f>
        <v>0</v>
      </c>
      <c r="D3" s="186"/>
      <c r="E3" s="187">
        <f ca="1">IFERROR(VLOOKUP(D3,Preços!B:C,2,0),0)</f>
        <v>0</v>
      </c>
      <c r="F3" s="188">
        <f>IFERROR(VLOOKUP(D3,Portfolio!C:D,2,0),0)</f>
        <v>0</v>
      </c>
      <c r="G3" s="187">
        <f>IFERROR(VLOOKUP(D3,Portfolio!C:I,7,0),0)</f>
        <v>0</v>
      </c>
      <c r="H3" s="187">
        <f>B3*($O$2+$O$4)</f>
        <v>0</v>
      </c>
      <c r="I3" s="189">
        <f ca="1">IF((((IFERROR(_xlfn.FLOOR.MATH((H3-G3)/E3,,0),0)+F3)*E3)/IF($O$12&gt;0,$O$12,1))&gt;C3,$O$14/$L$11,0)</f>
        <v>0</v>
      </c>
      <c r="J3" s="162">
        <f ca="1">IFERROR(_xlfn.FLOOR.MATH(I3/E3,,0),0)</f>
        <v>0</v>
      </c>
      <c r="K3" s="210">
        <f ca="1">J3+F3</f>
        <v>0</v>
      </c>
      <c r="L3" s="214" t="e">
        <f>IF((G3/($O$12+$O$14))&lt;B3,1,0)</f>
        <v>#DIV/0!</v>
      </c>
      <c r="M3" s="114"/>
      <c r="N3" s="101" t="s">
        <v>2279</v>
      </c>
      <c r="O3" s="102">
        <f>(O2/IF(Consolidado!$J$2&gt;0,Consolidado!$J$2,1))</f>
        <v>0</v>
      </c>
      <c r="P3" s="175"/>
      <c r="Q3" s="206"/>
    </row>
    <row r="4" spans="1:20" ht="15.75" thickBot="1" x14ac:dyDescent="0.3">
      <c r="A4" s="157" t="s">
        <v>17</v>
      </c>
      <c r="B4" s="184">
        <v>0</v>
      </c>
      <c r="C4" s="185">
        <f t="shared" ref="C4:C7" si="1">(G4/IF($O$2&gt;0,$O$2,1))</f>
        <v>0</v>
      </c>
      <c r="D4" s="186"/>
      <c r="E4" s="187">
        <f ca="1">IFERROR(VLOOKUP(D4,Preços!B:C,2,0),0)</f>
        <v>0</v>
      </c>
      <c r="F4" s="188">
        <f>IFERROR(VLOOKUP(D4,Portfolio!C:D,2,0),0)</f>
        <v>0</v>
      </c>
      <c r="G4" s="187">
        <f>IFERROR(VLOOKUP(D4,Portfolio!C:I,7,0),0)</f>
        <v>0</v>
      </c>
      <c r="H4" s="187">
        <f t="shared" ref="H4:H7" si="2">B4*($O$2+$O$4)</f>
        <v>0</v>
      </c>
      <c r="I4" s="189">
        <f t="shared" ref="I4:I9" ca="1" si="3">IF((((IFERROR(_xlfn.FLOOR.MATH((H4-G4)/E4,,0),0)+F4)*E4)/IF($O$12&gt;0,$O$12,1))&gt;C4,$O$14/$L$11,0)</f>
        <v>0</v>
      </c>
      <c r="J4" s="162">
        <f t="shared" ref="J4:J9" ca="1" si="4">IFERROR(_xlfn.FLOOR.MATH(I4/E4,,0),0)</f>
        <v>0</v>
      </c>
      <c r="K4" s="210">
        <f t="shared" ref="K4:K9" ca="1" si="5">J4+F4</f>
        <v>0</v>
      </c>
      <c r="L4" s="214" t="e">
        <f t="shared" ref="L4:L9" si="6">IF((G4/($O$12+$O$14))&lt;B4,1,0)</f>
        <v>#DIV/0!</v>
      </c>
      <c r="M4" s="114"/>
      <c r="N4" s="103" t="s">
        <v>23</v>
      </c>
      <c r="O4" s="56">
        <v>0</v>
      </c>
      <c r="P4" s="48"/>
      <c r="Q4" s="206"/>
    </row>
    <row r="5" spans="1:20" x14ac:dyDescent="0.25">
      <c r="A5" s="157" t="s">
        <v>17</v>
      </c>
      <c r="B5" s="184">
        <v>0</v>
      </c>
      <c r="C5" s="185">
        <f t="shared" si="1"/>
        <v>0</v>
      </c>
      <c r="D5" s="186"/>
      <c r="E5" s="187">
        <f ca="1">IFERROR(VLOOKUP(D5,Preços!B:C,2,0),0)</f>
        <v>0</v>
      </c>
      <c r="F5" s="188">
        <f>IFERROR(VLOOKUP(D5,Portfolio!C:D,2,0),0)</f>
        <v>0</v>
      </c>
      <c r="G5" s="187">
        <f>IFERROR(VLOOKUP(D5,Portfolio!C:I,7,0),0)</f>
        <v>0</v>
      </c>
      <c r="H5" s="187">
        <f t="shared" si="2"/>
        <v>0</v>
      </c>
      <c r="I5" s="189">
        <f t="shared" ca="1" si="3"/>
        <v>0</v>
      </c>
      <c r="J5" s="162">
        <f t="shared" ca="1" si="4"/>
        <v>0</v>
      </c>
      <c r="K5" s="210">
        <f t="shared" ca="1" si="5"/>
        <v>0</v>
      </c>
      <c r="L5" s="214" t="e">
        <f t="shared" si="6"/>
        <v>#DIV/0!</v>
      </c>
      <c r="M5" s="114"/>
      <c r="O5" s="137"/>
      <c r="P5" s="137"/>
      <c r="Q5" s="206"/>
    </row>
    <row r="6" spans="1:20" x14ac:dyDescent="0.25">
      <c r="A6" s="157" t="s">
        <v>17</v>
      </c>
      <c r="B6" s="184">
        <v>0</v>
      </c>
      <c r="C6" s="185">
        <f t="shared" si="1"/>
        <v>0</v>
      </c>
      <c r="D6" s="186"/>
      <c r="E6" s="187">
        <f ca="1">IFERROR(VLOOKUP(D6,Preços!B:C,2,0),0)</f>
        <v>0</v>
      </c>
      <c r="F6" s="188">
        <f>IFERROR(VLOOKUP(D6,Portfolio!C:D,2,0),0)</f>
        <v>0</v>
      </c>
      <c r="G6" s="187">
        <f>IFERROR(VLOOKUP(D6,Portfolio!C:I,7,0),0)</f>
        <v>0</v>
      </c>
      <c r="H6" s="187">
        <f t="shared" si="2"/>
        <v>0</v>
      </c>
      <c r="I6" s="189">
        <f t="shared" ca="1" si="3"/>
        <v>0</v>
      </c>
      <c r="J6" s="162">
        <f t="shared" ca="1" si="4"/>
        <v>0</v>
      </c>
      <c r="K6" s="210">
        <f t="shared" ca="1" si="5"/>
        <v>0</v>
      </c>
      <c r="L6" s="214" t="e">
        <f t="shared" si="6"/>
        <v>#DIV/0!</v>
      </c>
      <c r="M6" s="114"/>
      <c r="Q6" s="206"/>
    </row>
    <row r="7" spans="1:20" x14ac:dyDescent="0.25">
      <c r="A7" s="157" t="s">
        <v>17</v>
      </c>
      <c r="B7" s="184">
        <v>0</v>
      </c>
      <c r="C7" s="185">
        <f t="shared" si="1"/>
        <v>0</v>
      </c>
      <c r="D7" s="186"/>
      <c r="E7" s="187">
        <f ca="1">IFERROR(VLOOKUP(D7,Preços!B:C,2,0),0)</f>
        <v>0</v>
      </c>
      <c r="F7" s="188">
        <f>IFERROR(VLOOKUP(D7,Portfolio!C:D,2,0),0)</f>
        <v>0</v>
      </c>
      <c r="G7" s="187">
        <f>IFERROR(VLOOKUP(D7,Portfolio!C:I,7,0),0)</f>
        <v>0</v>
      </c>
      <c r="H7" s="187">
        <f t="shared" si="2"/>
        <v>0</v>
      </c>
      <c r="I7" s="189">
        <f t="shared" ca="1" si="3"/>
        <v>0</v>
      </c>
      <c r="J7" s="162">
        <f t="shared" ca="1" si="4"/>
        <v>0</v>
      </c>
      <c r="K7" s="210">
        <f t="shared" ca="1" si="5"/>
        <v>0</v>
      </c>
      <c r="L7" s="214" t="e">
        <f t="shared" si="6"/>
        <v>#DIV/0!</v>
      </c>
      <c r="M7" s="114"/>
      <c r="N7" s="137"/>
      <c r="Q7" s="206"/>
    </row>
    <row r="8" spans="1:20" x14ac:dyDescent="0.25">
      <c r="A8" s="157" t="s">
        <v>17</v>
      </c>
      <c r="B8" s="184">
        <v>0</v>
      </c>
      <c r="C8" s="185">
        <f t="shared" ref="C8" si="7">(G8/IF($O$2&gt;0,$O$2,1))</f>
        <v>0</v>
      </c>
      <c r="D8" s="186"/>
      <c r="E8" s="187">
        <f ca="1">IFERROR(VLOOKUP(D8,Preços!B:C,2,0),0)</f>
        <v>0</v>
      </c>
      <c r="F8" s="188">
        <f>IFERROR(VLOOKUP(D8,Portfolio!C:D,2,0),0)</f>
        <v>0</v>
      </c>
      <c r="G8" s="187">
        <f>IFERROR(VLOOKUP(D8,Portfolio!C:I,7,0),0)</f>
        <v>0</v>
      </c>
      <c r="H8" s="187">
        <f t="shared" ref="H8" si="8">B8*($O$2+$O$4)</f>
        <v>0</v>
      </c>
      <c r="I8" s="189">
        <f t="shared" ca="1" si="3"/>
        <v>0</v>
      </c>
      <c r="J8" s="162">
        <f t="shared" ca="1" si="4"/>
        <v>0</v>
      </c>
      <c r="K8" s="210">
        <f t="shared" ca="1" si="5"/>
        <v>0</v>
      </c>
      <c r="L8" s="214" t="e">
        <f t="shared" si="6"/>
        <v>#DIV/0!</v>
      </c>
      <c r="M8" s="114"/>
      <c r="N8" s="137"/>
      <c r="Q8" s="206"/>
    </row>
    <row r="9" spans="1:20" ht="15.75" thickBot="1" x14ac:dyDescent="0.3">
      <c r="A9" s="159" t="s">
        <v>17</v>
      </c>
      <c r="B9" s="190">
        <v>0</v>
      </c>
      <c r="C9" s="163">
        <f t="shared" ref="C9" si="9">(G9/IF($O$2&gt;0,$O$2,1))</f>
        <v>0</v>
      </c>
      <c r="D9" s="160"/>
      <c r="E9" s="161">
        <f ca="1">IFERROR(VLOOKUP(D9,Preços!B:C,2,0),0)</f>
        <v>0</v>
      </c>
      <c r="F9" s="164">
        <f>IFERROR(VLOOKUP(D9,Portfolio!C:D,2,0),0)</f>
        <v>0</v>
      </c>
      <c r="G9" s="161">
        <f>IFERROR(VLOOKUP(D9,Portfolio!C:I,7,0),0)</f>
        <v>0</v>
      </c>
      <c r="H9" s="161">
        <f t="shared" ref="H9" si="10">B9*($O$2+$O$4)</f>
        <v>0</v>
      </c>
      <c r="I9" s="191">
        <f t="shared" ca="1" si="3"/>
        <v>0</v>
      </c>
      <c r="J9" s="192">
        <f t="shared" ca="1" si="4"/>
        <v>0</v>
      </c>
      <c r="K9" s="218">
        <f t="shared" ca="1" si="5"/>
        <v>0</v>
      </c>
      <c r="L9" s="215" t="e">
        <f t="shared" si="6"/>
        <v>#DIV/0!</v>
      </c>
      <c r="M9" s="114"/>
    </row>
    <row r="11" spans="1:20" ht="15.75" thickBot="1" x14ac:dyDescent="0.3">
      <c r="B11" s="104">
        <f>SUBTOTAL(9,B13:B18)</f>
        <v>1</v>
      </c>
      <c r="C11" s="104">
        <f>SUBTOTAL(9,C13:C18)</f>
        <v>0</v>
      </c>
      <c r="D11" s="21">
        <f>SUBTOTAL(3,D13:D18)</f>
        <v>0</v>
      </c>
      <c r="F11" s="110">
        <f t="shared" ref="F11:L11" si="11">SUBTOTAL(9,F13:F18)</f>
        <v>0</v>
      </c>
      <c r="G11" s="106">
        <f t="shared" si="11"/>
        <v>0</v>
      </c>
      <c r="H11" s="106">
        <f t="shared" si="11"/>
        <v>0</v>
      </c>
      <c r="I11" s="106">
        <f t="shared" ca="1" si="11"/>
        <v>0</v>
      </c>
      <c r="J11" s="110">
        <f t="shared" ca="1" si="11"/>
        <v>0</v>
      </c>
      <c r="K11" s="212">
        <f t="shared" ca="1" si="11"/>
        <v>0</v>
      </c>
      <c r="L11" s="193" t="e">
        <f t="shared" si="11"/>
        <v>#DIV/0!</v>
      </c>
      <c r="M11" s="114"/>
      <c r="S11" s="138"/>
    </row>
    <row r="12" spans="1:20" x14ac:dyDescent="0.25">
      <c r="A12" s="95" t="s">
        <v>35</v>
      </c>
      <c r="B12" s="119" t="s">
        <v>2274</v>
      </c>
      <c r="C12" s="96" t="s">
        <v>26</v>
      </c>
      <c r="D12" s="96" t="s">
        <v>0</v>
      </c>
      <c r="E12" s="107" t="s">
        <v>2278</v>
      </c>
      <c r="F12" s="112" t="s">
        <v>2280</v>
      </c>
      <c r="G12" s="107" t="s">
        <v>4</v>
      </c>
      <c r="H12" s="107" t="s">
        <v>29</v>
      </c>
      <c r="I12" s="107" t="s">
        <v>23</v>
      </c>
      <c r="J12" s="111" t="s">
        <v>2918</v>
      </c>
      <c r="K12" s="219" t="s">
        <v>2919</v>
      </c>
      <c r="L12" s="194" t="s">
        <v>2920</v>
      </c>
      <c r="M12" s="183"/>
      <c r="N12" s="49" t="s">
        <v>2282</v>
      </c>
      <c r="O12" s="100">
        <f>G11</f>
        <v>0</v>
      </c>
      <c r="P12" s="48"/>
      <c r="Q12" s="138"/>
      <c r="R12" s="138"/>
      <c r="S12" s="137"/>
    </row>
    <row r="13" spans="1:20" x14ac:dyDescent="0.25">
      <c r="A13" s="97" t="s">
        <v>18</v>
      </c>
      <c r="B13" s="120">
        <v>0.25</v>
      </c>
      <c r="C13" s="105">
        <f t="shared" ref="C13:C18" si="12">IFERROR((G13/IF($O$12&gt;0,$O$12,1)),0)</f>
        <v>0</v>
      </c>
      <c r="D13" s="98"/>
      <c r="E13" s="117">
        <f ca="1">IFERROR(VLOOKUP(D13,Preços!B:C,2,0),0)</f>
        <v>0</v>
      </c>
      <c r="F13" s="113">
        <f>IFERROR(VLOOKUP(D13,Portfolio!C:D,2,0),0)</f>
        <v>0</v>
      </c>
      <c r="G13" s="108">
        <f>IFERROR(VLOOKUP(D13,Portfolio!C:I,7,0),0)</f>
        <v>0</v>
      </c>
      <c r="H13" s="108">
        <f t="shared" ref="H13:H18" si="13">B13*($O$12+$O$14)</f>
        <v>0</v>
      </c>
      <c r="I13" s="189">
        <f t="shared" ref="I13:I18" ca="1" si="14">IF((((IFERROR(_xlfn.FLOOR.MATH((H13-G13)/E13,,0),0)+F13)*E13)/IF($O$12&gt;0,$O$12,1))&gt;C13,$O$14/$L$11,0)</f>
        <v>0</v>
      </c>
      <c r="J13" s="162">
        <f t="shared" ref="J13:J18" ca="1" si="15">IFERROR(_xlfn.FLOOR.MATH(I13/E13,,0),0)</f>
        <v>0</v>
      </c>
      <c r="K13" s="195">
        <f t="shared" ref="K13:K18" ca="1" si="16">J13+F13</f>
        <v>0</v>
      </c>
      <c r="L13" s="195" t="e">
        <f>IF((G13/($O$12+$O$14))&lt;B13,1,0)</f>
        <v>#DIV/0!</v>
      </c>
      <c r="M13" s="114"/>
      <c r="N13" s="101" t="s">
        <v>2279</v>
      </c>
      <c r="O13" s="102">
        <f>(O12/IF(Consolidado!$J$2&gt;0,Consolidado!$J$2,1))</f>
        <v>0</v>
      </c>
      <c r="P13" s="175"/>
      <c r="Q13" s="114"/>
      <c r="R13" s="138"/>
      <c r="S13" s="138"/>
      <c r="T13" s="84"/>
    </row>
    <row r="14" spans="1:20" ht="15.75" thickBot="1" x14ac:dyDescent="0.3">
      <c r="A14" s="97" t="s">
        <v>18</v>
      </c>
      <c r="B14" s="120">
        <v>0.2</v>
      </c>
      <c r="C14" s="105">
        <f t="shared" si="12"/>
        <v>0</v>
      </c>
      <c r="D14" s="98"/>
      <c r="E14" s="117">
        <f ca="1">IFERROR(VLOOKUP(D14,Preços!B:C,2,0),0)</f>
        <v>0</v>
      </c>
      <c r="F14" s="113">
        <f>IFERROR(VLOOKUP(D14,Portfolio!C:D,2,0),0)</f>
        <v>0</v>
      </c>
      <c r="G14" s="108">
        <f>IFERROR(VLOOKUP(D14,Portfolio!C:I,7,0),0)</f>
        <v>0</v>
      </c>
      <c r="H14" s="108">
        <f t="shared" si="13"/>
        <v>0</v>
      </c>
      <c r="I14" s="189">
        <f t="shared" ca="1" si="14"/>
        <v>0</v>
      </c>
      <c r="J14" s="129">
        <f t="shared" ca="1" si="15"/>
        <v>0</v>
      </c>
      <c r="K14" s="195">
        <f t="shared" ca="1" si="16"/>
        <v>0</v>
      </c>
      <c r="L14" s="195" t="e">
        <f t="shared" ref="L14:L18" si="17">IF((G14/($O$12+$O$14))&lt;B14,1,0)</f>
        <v>#DIV/0!</v>
      </c>
      <c r="M14" s="114"/>
      <c r="N14" s="103" t="s">
        <v>23</v>
      </c>
      <c r="O14" s="56"/>
      <c r="P14" s="48"/>
      <c r="Q14" s="114"/>
      <c r="R14" s="138"/>
      <c r="S14" s="138"/>
    </row>
    <row r="15" spans="1:20" x14ac:dyDescent="0.25">
      <c r="A15" s="115" t="s">
        <v>18</v>
      </c>
      <c r="B15" s="128">
        <v>0.1</v>
      </c>
      <c r="C15" s="105">
        <f t="shared" si="12"/>
        <v>0</v>
      </c>
      <c r="D15" s="116"/>
      <c r="E15" s="117">
        <f ca="1">IFERROR(VLOOKUP(D15,Preços!B:C,2,0),0)</f>
        <v>0</v>
      </c>
      <c r="F15" s="113">
        <f>IFERROR(VLOOKUP(D15,Portfolio!C:D,2,0),0)</f>
        <v>0</v>
      </c>
      <c r="G15" s="108">
        <f>IFERROR(VLOOKUP(D15,Portfolio!C:I,7,0),0)</f>
        <v>0</v>
      </c>
      <c r="H15" s="117">
        <f t="shared" si="13"/>
        <v>0</v>
      </c>
      <c r="I15" s="189">
        <f t="shared" ca="1" si="14"/>
        <v>0</v>
      </c>
      <c r="J15" s="129">
        <f t="shared" ca="1" si="15"/>
        <v>0</v>
      </c>
      <c r="K15" s="195">
        <f t="shared" ca="1" si="16"/>
        <v>0</v>
      </c>
      <c r="L15" s="195" t="e">
        <f t="shared" si="17"/>
        <v>#DIV/0!</v>
      </c>
      <c r="M15" s="114"/>
      <c r="O15" s="137"/>
      <c r="P15" s="137"/>
      <c r="Q15" s="114"/>
      <c r="R15" s="207"/>
      <c r="S15" s="138"/>
    </row>
    <row r="16" spans="1:20" x14ac:dyDescent="0.25">
      <c r="A16" s="115" t="s">
        <v>18</v>
      </c>
      <c r="B16" s="128">
        <v>0.15</v>
      </c>
      <c r="C16" s="105">
        <f t="shared" si="12"/>
        <v>0</v>
      </c>
      <c r="D16" s="116"/>
      <c r="E16" s="117">
        <f ca="1">IFERROR(VLOOKUP(D16,Preços!B:C,2,0),0)</f>
        <v>0</v>
      </c>
      <c r="F16" s="113">
        <f>IFERROR(VLOOKUP(D16,Portfolio!C:D,2,0),0)</f>
        <v>0</v>
      </c>
      <c r="G16" s="108">
        <f>IFERROR(VLOOKUP(D16,Portfolio!C:I,7,0),0)</f>
        <v>0</v>
      </c>
      <c r="H16" s="117">
        <f t="shared" si="13"/>
        <v>0</v>
      </c>
      <c r="I16" s="189">
        <f t="shared" ca="1" si="14"/>
        <v>0</v>
      </c>
      <c r="J16" s="129">
        <f t="shared" ca="1" si="15"/>
        <v>0</v>
      </c>
      <c r="K16" s="195">
        <f t="shared" ca="1" si="16"/>
        <v>0</v>
      </c>
      <c r="L16" s="195" t="e">
        <f t="shared" si="17"/>
        <v>#DIV/0!</v>
      </c>
      <c r="M16" s="114"/>
      <c r="Q16" s="114"/>
      <c r="R16" s="138"/>
      <c r="S16" s="138"/>
    </row>
    <row r="17" spans="1:19" x14ac:dyDescent="0.25">
      <c r="A17" s="115" t="s">
        <v>18</v>
      </c>
      <c r="B17" s="128">
        <v>0.15</v>
      </c>
      <c r="C17" s="105">
        <f t="shared" si="12"/>
        <v>0</v>
      </c>
      <c r="D17" s="116"/>
      <c r="E17" s="117">
        <f ca="1">IFERROR(VLOOKUP(D17,Preços!B:C,2,0),0)</f>
        <v>0</v>
      </c>
      <c r="F17" s="113">
        <f>IFERROR(VLOOKUP(D17,Portfolio!C:D,2,0),0)</f>
        <v>0</v>
      </c>
      <c r="G17" s="108">
        <f>IFERROR(VLOOKUP(D17,Portfolio!C:I,7,0),0)</f>
        <v>0</v>
      </c>
      <c r="H17" s="117">
        <f t="shared" si="13"/>
        <v>0</v>
      </c>
      <c r="I17" s="189">
        <f t="shared" ca="1" si="14"/>
        <v>0</v>
      </c>
      <c r="J17" s="129">
        <f t="shared" ca="1" si="15"/>
        <v>0</v>
      </c>
      <c r="K17" s="195">
        <f t="shared" ca="1" si="16"/>
        <v>0</v>
      </c>
      <c r="L17" s="195" t="e">
        <f t="shared" si="17"/>
        <v>#DIV/0!</v>
      </c>
      <c r="M17" s="114"/>
      <c r="Q17" s="114"/>
      <c r="R17" s="138"/>
      <c r="S17" s="138"/>
    </row>
    <row r="18" spans="1:19" ht="15.75" thickBot="1" x14ac:dyDescent="0.3">
      <c r="A18" s="99" t="s">
        <v>18</v>
      </c>
      <c r="B18" s="156">
        <v>0.15</v>
      </c>
      <c r="C18" s="131">
        <f t="shared" si="12"/>
        <v>0</v>
      </c>
      <c r="D18" s="132"/>
      <c r="E18" s="109">
        <f ca="1">IFERROR(VLOOKUP(D18,Preços!B:C,2,0),0)</f>
        <v>0</v>
      </c>
      <c r="F18" s="133">
        <f>IFERROR(VLOOKUP(D18,Portfolio!C:D,2,0),0)</f>
        <v>0</v>
      </c>
      <c r="G18" s="134">
        <f>IFERROR(VLOOKUP(D18,Portfolio!C:I,7,0),0)</f>
        <v>0</v>
      </c>
      <c r="H18" s="134">
        <f t="shared" si="13"/>
        <v>0</v>
      </c>
      <c r="I18" s="191">
        <f t="shared" ca="1" si="14"/>
        <v>0</v>
      </c>
      <c r="J18" s="130">
        <f t="shared" ca="1" si="15"/>
        <v>0</v>
      </c>
      <c r="K18" s="196">
        <f t="shared" ca="1" si="16"/>
        <v>0</v>
      </c>
      <c r="L18" s="196" t="e">
        <f t="shared" si="17"/>
        <v>#DIV/0!</v>
      </c>
      <c r="M18" s="114"/>
      <c r="Q18" s="114"/>
      <c r="R18" s="138"/>
      <c r="S18" s="138"/>
    </row>
    <row r="20" spans="1:19" ht="15.75" thickBot="1" x14ac:dyDescent="0.3">
      <c r="B20" s="118">
        <f>SUBTOTAL(9,B22:B31)</f>
        <v>0.99999999999999989</v>
      </c>
      <c r="C20" s="118">
        <f ca="1">SUBTOTAL(9,C22:C31)</f>
        <v>0</v>
      </c>
      <c r="D20" s="21">
        <f>SUBTOTAL(3,D22:D31)</f>
        <v>0</v>
      </c>
      <c r="F20" s="121">
        <f t="shared" ref="F20:L20" si="18">SUBTOTAL(9,F22:F31)</f>
        <v>0</v>
      </c>
      <c r="G20" s="106">
        <f t="shared" ca="1" si="18"/>
        <v>0</v>
      </c>
      <c r="H20" s="106">
        <f t="shared" ca="1" si="18"/>
        <v>1081.5100000000004</v>
      </c>
      <c r="I20" s="106">
        <f t="shared" ca="1" si="18"/>
        <v>0</v>
      </c>
      <c r="J20" s="121">
        <f t="shared" ca="1" si="18"/>
        <v>0</v>
      </c>
      <c r="K20" s="212">
        <f t="shared" ca="1" si="18"/>
        <v>0</v>
      </c>
      <c r="L20" s="193">
        <f t="shared" ca="1" si="18"/>
        <v>10</v>
      </c>
      <c r="M20" s="121"/>
    </row>
    <row r="21" spans="1:19" x14ac:dyDescent="0.25">
      <c r="A21" s="95" t="s">
        <v>35</v>
      </c>
      <c r="B21" s="119" t="s">
        <v>2274</v>
      </c>
      <c r="C21" s="119" t="s">
        <v>26</v>
      </c>
      <c r="D21" s="96" t="s">
        <v>0</v>
      </c>
      <c r="E21" s="107" t="s">
        <v>2278</v>
      </c>
      <c r="F21" s="122" t="s">
        <v>2280</v>
      </c>
      <c r="G21" s="107" t="s">
        <v>4</v>
      </c>
      <c r="H21" s="107" t="s">
        <v>29</v>
      </c>
      <c r="I21" s="107" t="s">
        <v>23</v>
      </c>
      <c r="J21" s="111" t="s">
        <v>2918</v>
      </c>
      <c r="K21" s="219" t="s">
        <v>2919</v>
      </c>
      <c r="L21" s="194" t="s">
        <v>2920</v>
      </c>
      <c r="M21" s="123"/>
      <c r="N21" s="49" t="s">
        <v>27</v>
      </c>
      <c r="O21" s="182">
        <f ca="1">G20</f>
        <v>0</v>
      </c>
      <c r="P21" s="228"/>
      <c r="Q21" s="238">
        <f ca="1">O21*Preços!E3</f>
        <v>0</v>
      </c>
    </row>
    <row r="22" spans="1:19" x14ac:dyDescent="0.25">
      <c r="A22" s="157" t="s">
        <v>34</v>
      </c>
      <c r="B22" s="184">
        <v>0.1</v>
      </c>
      <c r="C22" s="184">
        <f t="shared" ref="C22:C30" ca="1" si="19">(G22/IF($O$21&gt;0,$O$21,1))</f>
        <v>0</v>
      </c>
      <c r="D22" s="186"/>
      <c r="E22" s="187">
        <f ca="1">IFERROR(VLOOKUP(D22,Preços!B:C,2,0),0)</f>
        <v>0</v>
      </c>
      <c r="F22" s="197">
        <f>IFERROR(VLOOKUP(D22,Portfolio!C:D,2,0),0)</f>
        <v>0</v>
      </c>
      <c r="G22" s="187">
        <f ca="1">E22*F22</f>
        <v>0</v>
      </c>
      <c r="H22" s="187">
        <f ca="1">B22*($O$21+$O$24)</f>
        <v>108.15100000000001</v>
      </c>
      <c r="I22" s="189">
        <f t="shared" ref="I22:I25" ca="1" si="20">IF((((IFERROR((H22-G22)/E22,0)+F22)*E22)/IF($O$21&gt;0,$O$21,1))&gt;C22,$O$24/$L$20,0)</f>
        <v>0</v>
      </c>
      <c r="J22" s="158">
        <f ca="1">IFERROR(I22/E22,0)</f>
        <v>0</v>
      </c>
      <c r="K22" s="220">
        <f ca="1">J22+F22</f>
        <v>0</v>
      </c>
      <c r="L22" s="193">
        <f ca="1">IF((G22/($O$21+$O$24))&lt;B22,1,0)</f>
        <v>1</v>
      </c>
      <c r="M22" s="124"/>
      <c r="N22" s="101" t="s">
        <v>2279</v>
      </c>
      <c r="O22" s="102">
        <f ca="1">(O21/IF(Consolidado!$J$2&gt;0,Consolidado!$J$2,1))</f>
        <v>0</v>
      </c>
      <c r="P22" s="175"/>
      <c r="Q22" s="178"/>
    </row>
    <row r="23" spans="1:19" ht="15.75" thickBot="1" x14ac:dyDescent="0.3">
      <c r="A23" s="157" t="s">
        <v>34</v>
      </c>
      <c r="B23" s="184">
        <v>0.1</v>
      </c>
      <c r="C23" s="184">
        <f t="shared" ca="1" si="19"/>
        <v>0</v>
      </c>
      <c r="D23" s="186"/>
      <c r="E23" s="187">
        <f ca="1">IFERROR(VLOOKUP(D23,Preços!B:C,2,0),0)</f>
        <v>0</v>
      </c>
      <c r="F23" s="197">
        <f>IFERROR(VLOOKUP(D23,Portfolio!C:D,2,0),0)</f>
        <v>0</v>
      </c>
      <c r="G23" s="187">
        <f t="shared" ref="G23:G31" ca="1" si="21">E23*F23</f>
        <v>0</v>
      </c>
      <c r="H23" s="187">
        <f ca="1">B23*($O$21+$O$24)</f>
        <v>108.15100000000001</v>
      </c>
      <c r="I23" s="189">
        <f t="shared" ca="1" si="20"/>
        <v>0</v>
      </c>
      <c r="J23" s="158">
        <f t="shared" ref="J23:J31" ca="1" si="22">IFERROR(I23/E23,0)</f>
        <v>0</v>
      </c>
      <c r="K23" s="221">
        <f t="shared" ref="K23:K31" ca="1" si="23">J23+F23</f>
        <v>0</v>
      </c>
      <c r="L23" s="195">
        <f ca="1">IF((G23/($O$21+$O$24))&lt;B23,1,0)</f>
        <v>1</v>
      </c>
      <c r="M23" s="124"/>
      <c r="N23" s="209" t="s">
        <v>23</v>
      </c>
      <c r="O23" s="56">
        <f ca="1">O24*Preços!E3</f>
        <v>6683.5154979999998</v>
      </c>
      <c r="P23" s="48"/>
      <c r="Q23" s="238">
        <f>O24</f>
        <v>1081.51</v>
      </c>
    </row>
    <row r="24" spans="1:19" ht="15.75" thickBot="1" x14ac:dyDescent="0.3">
      <c r="A24" s="157" t="s">
        <v>34</v>
      </c>
      <c r="B24" s="184">
        <v>0.1</v>
      </c>
      <c r="C24" s="184">
        <f t="shared" ca="1" si="19"/>
        <v>0</v>
      </c>
      <c r="D24" s="186"/>
      <c r="E24" s="187">
        <f ca="1">IFERROR(VLOOKUP(D24,Preços!B:C,2,0),0)</f>
        <v>0</v>
      </c>
      <c r="F24" s="197">
        <f>IFERROR(VLOOKUP(D24,Portfolio!C:D,2,0),0)</f>
        <v>0</v>
      </c>
      <c r="G24" s="187">
        <f t="shared" ca="1" si="21"/>
        <v>0</v>
      </c>
      <c r="H24" s="187">
        <f ca="1">B24*($O$21+$O$24)</f>
        <v>108.15100000000001</v>
      </c>
      <c r="I24" s="189">
        <f t="shared" ca="1" si="20"/>
        <v>0</v>
      </c>
      <c r="J24" s="158">
        <f t="shared" ca="1" si="22"/>
        <v>0</v>
      </c>
      <c r="K24" s="221">
        <f t="shared" ca="1" si="23"/>
        <v>0</v>
      </c>
      <c r="L24" s="195">
        <f ca="1">IF((G24/($O$21+$O$24))&lt;B24,1,0)</f>
        <v>1</v>
      </c>
      <c r="M24" s="124"/>
      <c r="N24" s="208" t="s">
        <v>2921</v>
      </c>
      <c r="O24" s="177">
        <v>1081.51</v>
      </c>
      <c r="P24" s="229"/>
      <c r="Q24" s="227">
        <f ca="1">Q23/Preços!E3</f>
        <v>175.00728178905464</v>
      </c>
    </row>
    <row r="25" spans="1:19" x14ac:dyDescent="0.25">
      <c r="A25" s="157" t="s">
        <v>34</v>
      </c>
      <c r="B25" s="184">
        <v>0.1</v>
      </c>
      <c r="C25" s="184">
        <f t="shared" ca="1" si="19"/>
        <v>0</v>
      </c>
      <c r="D25" s="186"/>
      <c r="E25" s="187">
        <f ca="1">IFERROR(VLOOKUP(D25,Preços!B:C,2,0),0)</f>
        <v>0</v>
      </c>
      <c r="F25" s="197">
        <f>IFERROR(VLOOKUP(D25,Portfolio!C:D,2,0),0)</f>
        <v>0</v>
      </c>
      <c r="G25" s="187">
        <f t="shared" ca="1" si="21"/>
        <v>0</v>
      </c>
      <c r="H25" s="187">
        <f ca="1">B25*($O$21+$O$24)</f>
        <v>108.15100000000001</v>
      </c>
      <c r="I25" s="189">
        <f t="shared" ca="1" si="20"/>
        <v>0</v>
      </c>
      <c r="J25" s="158">
        <f t="shared" ca="1" si="22"/>
        <v>0</v>
      </c>
      <c r="K25" s="221">
        <f t="shared" ca="1" si="23"/>
        <v>0</v>
      </c>
      <c r="L25" s="195">
        <f ca="1">IF((G25/($O$21+$O$24))&lt;B25,1,0)</f>
        <v>1</v>
      </c>
      <c r="M25" s="124"/>
      <c r="Q25" s="178"/>
    </row>
    <row r="26" spans="1:19" x14ac:dyDescent="0.25">
      <c r="A26" s="157" t="s">
        <v>34</v>
      </c>
      <c r="B26" s="239">
        <v>0.1</v>
      </c>
      <c r="C26" s="239">
        <f t="shared" ca="1" si="19"/>
        <v>0</v>
      </c>
      <c r="D26" s="240"/>
      <c r="E26" s="187">
        <f ca="1">IFERROR(VLOOKUP(D26,Preços!B:C,2,0),0)</f>
        <v>0</v>
      </c>
      <c r="F26" s="197">
        <f>IFERROR(VLOOKUP(D26,Portfolio!C:D,2,0),0)</f>
        <v>0</v>
      </c>
      <c r="G26" s="187">
        <f t="shared" ref="G26:G29" ca="1" si="24">E26*F26</f>
        <v>0</v>
      </c>
      <c r="H26" s="187">
        <f t="shared" ref="H26:H29" ca="1" si="25">B26*($O$21+$O$24)</f>
        <v>108.15100000000001</v>
      </c>
      <c r="I26" s="189">
        <f t="shared" ref="I26:I29" ca="1" si="26">IF((((IFERROR((H26-G26)/E26,0)+F26)*E26)/IF($O$21&gt;0,$O$21,1))&gt;C26,$O$24/$L$20,0)</f>
        <v>0</v>
      </c>
      <c r="J26" s="158">
        <f t="shared" ref="J26:J29" ca="1" si="27">IFERROR(I26/E26,0)</f>
        <v>0</v>
      </c>
      <c r="K26" s="221">
        <f t="shared" ca="1" si="23"/>
        <v>0</v>
      </c>
      <c r="L26" s="195">
        <f t="shared" ref="L26:L30" ca="1" si="28">IF((G26/($O$21+$O$24))&lt;B26,1,0)</f>
        <v>1</v>
      </c>
      <c r="M26" s="124"/>
      <c r="Q26" s="178"/>
    </row>
    <row r="27" spans="1:19" x14ac:dyDescent="0.25">
      <c r="A27" s="157" t="s">
        <v>34</v>
      </c>
      <c r="B27" s="239">
        <v>0.1</v>
      </c>
      <c r="C27" s="239">
        <f t="shared" ca="1" si="19"/>
        <v>0</v>
      </c>
      <c r="D27" s="240"/>
      <c r="E27" s="187">
        <f ca="1">IFERROR(VLOOKUP(D27,Preços!B:C,2,0),0)</f>
        <v>0</v>
      </c>
      <c r="F27" s="197">
        <f>IFERROR(VLOOKUP(D27,Portfolio!C:D,2,0),0)</f>
        <v>0</v>
      </c>
      <c r="G27" s="187">
        <f t="shared" ca="1" si="24"/>
        <v>0</v>
      </c>
      <c r="H27" s="187">
        <f t="shared" ca="1" si="25"/>
        <v>108.15100000000001</v>
      </c>
      <c r="I27" s="189">
        <f t="shared" ca="1" si="26"/>
        <v>0</v>
      </c>
      <c r="J27" s="158">
        <f t="shared" ca="1" si="27"/>
        <v>0</v>
      </c>
      <c r="K27" s="221">
        <f t="shared" ca="1" si="23"/>
        <v>0</v>
      </c>
      <c r="L27" s="195">
        <f t="shared" ca="1" si="28"/>
        <v>1</v>
      </c>
      <c r="M27" s="124"/>
      <c r="Q27" s="178"/>
    </row>
    <row r="28" spans="1:19" x14ac:dyDescent="0.25">
      <c r="A28" s="157" t="s">
        <v>34</v>
      </c>
      <c r="B28" s="239">
        <v>0.1</v>
      </c>
      <c r="C28" s="239">
        <f t="shared" ca="1" si="19"/>
        <v>0</v>
      </c>
      <c r="D28" s="240"/>
      <c r="E28" s="187">
        <f ca="1">IFERROR(VLOOKUP(D28,Preços!B:C,2,0),0)</f>
        <v>0</v>
      </c>
      <c r="F28" s="197">
        <f>IFERROR(VLOOKUP(D28,Portfolio!C:D,2,0),0)</f>
        <v>0</v>
      </c>
      <c r="G28" s="187">
        <f t="shared" ca="1" si="24"/>
        <v>0</v>
      </c>
      <c r="H28" s="187">
        <f t="shared" ca="1" si="25"/>
        <v>108.15100000000001</v>
      </c>
      <c r="I28" s="189">
        <f t="shared" ca="1" si="26"/>
        <v>0</v>
      </c>
      <c r="J28" s="158">
        <f t="shared" ca="1" si="27"/>
        <v>0</v>
      </c>
      <c r="K28" s="221">
        <f t="shared" ca="1" si="23"/>
        <v>0</v>
      </c>
      <c r="L28" s="195">
        <f t="shared" ca="1" si="28"/>
        <v>1</v>
      </c>
      <c r="M28" s="124"/>
      <c r="Q28" s="178"/>
    </row>
    <row r="29" spans="1:19" x14ac:dyDescent="0.25">
      <c r="A29" s="157" t="s">
        <v>34</v>
      </c>
      <c r="B29" s="239">
        <v>0.1</v>
      </c>
      <c r="C29" s="239">
        <f t="shared" ca="1" si="19"/>
        <v>0</v>
      </c>
      <c r="D29" s="240"/>
      <c r="E29" s="187">
        <f ca="1">IFERROR(VLOOKUP(D29,Preços!B:C,2,0),0)</f>
        <v>0</v>
      </c>
      <c r="F29" s="197">
        <f>IFERROR(VLOOKUP(D29,Portfolio!C:D,2,0),0)</f>
        <v>0</v>
      </c>
      <c r="G29" s="187">
        <f t="shared" ca="1" si="24"/>
        <v>0</v>
      </c>
      <c r="H29" s="187">
        <f t="shared" ca="1" si="25"/>
        <v>108.15100000000001</v>
      </c>
      <c r="I29" s="189">
        <f t="shared" ca="1" si="26"/>
        <v>0</v>
      </c>
      <c r="J29" s="158">
        <f t="shared" ca="1" si="27"/>
        <v>0</v>
      </c>
      <c r="K29" s="221">
        <f t="shared" ca="1" si="23"/>
        <v>0</v>
      </c>
      <c r="L29" s="195">
        <f t="shared" ca="1" si="28"/>
        <v>1</v>
      </c>
      <c r="M29" s="124"/>
      <c r="Q29" s="178"/>
    </row>
    <row r="30" spans="1:19" x14ac:dyDescent="0.25">
      <c r="A30" s="157" t="s">
        <v>34</v>
      </c>
      <c r="B30" s="239">
        <v>0.1</v>
      </c>
      <c r="C30" s="239">
        <f t="shared" ca="1" si="19"/>
        <v>0</v>
      </c>
      <c r="D30" s="240"/>
      <c r="E30" s="187">
        <f ca="1">IFERROR(VLOOKUP(D30,Preços!B:C,2,0),0)</f>
        <v>0</v>
      </c>
      <c r="F30" s="197">
        <f>IFERROR(VLOOKUP(D30,Portfolio!C:D,2,0),0)</f>
        <v>0</v>
      </c>
      <c r="G30" s="187">
        <f t="shared" ref="G30" ca="1" si="29">E30*F30</f>
        <v>0</v>
      </c>
      <c r="H30" s="187">
        <f t="shared" ref="H30" ca="1" si="30">B30*($O$21+$O$24)</f>
        <v>108.15100000000001</v>
      </c>
      <c r="I30" s="189">
        <f t="shared" ref="I30" ca="1" si="31">IF((((IFERROR((H30-G30)/E30,0)+F30)*E30)/IF($O$21&gt;0,$O$21,1))&gt;C30,$O$24/$L$20,0)</f>
        <v>0</v>
      </c>
      <c r="J30" s="158">
        <f t="shared" ref="J30" ca="1" si="32">IFERROR(I30/E30,0)</f>
        <v>0</v>
      </c>
      <c r="K30" s="221">
        <f t="shared" ca="1" si="23"/>
        <v>0</v>
      </c>
      <c r="L30" s="195">
        <f t="shared" ca="1" si="28"/>
        <v>1</v>
      </c>
      <c r="M30" s="124"/>
      <c r="Q30" s="178"/>
    </row>
    <row r="31" spans="1:19" ht="15.75" thickBot="1" x14ac:dyDescent="0.3">
      <c r="A31" s="159" t="s">
        <v>34</v>
      </c>
      <c r="B31" s="190">
        <v>0.1</v>
      </c>
      <c r="C31" s="190">
        <f ca="1">(G31/IF($O$21&gt;0,$O$21,1))</f>
        <v>0</v>
      </c>
      <c r="D31" s="160"/>
      <c r="E31" s="161">
        <f ca="1">IFERROR(VLOOKUP(D31,Preços!B:C,2,0),0)</f>
        <v>0</v>
      </c>
      <c r="F31" s="198">
        <f>IFERROR(VLOOKUP(D31,Portfolio!C:D,2,0),0)</f>
        <v>0</v>
      </c>
      <c r="G31" s="161">
        <f t="shared" ca="1" si="21"/>
        <v>0</v>
      </c>
      <c r="H31" s="161">
        <f ca="1">B31*($O$21+$O$24)</f>
        <v>108.15100000000001</v>
      </c>
      <c r="I31" s="191">
        <f ca="1">IF((((IFERROR((H31-G31)/E31,0)+F31)*E31)/IF($O$21&gt;0,$O$21,1))&gt;C31,$O$24/$L$20,0)</f>
        <v>0</v>
      </c>
      <c r="J31" s="199">
        <f t="shared" ca="1" si="22"/>
        <v>0</v>
      </c>
      <c r="K31" s="222">
        <f t="shared" ca="1" si="23"/>
        <v>0</v>
      </c>
      <c r="L31" s="196">
        <f ca="1">IF((G31/($O$21+$O$24))&lt;B31,1,0)</f>
        <v>1</v>
      </c>
      <c r="M31" s="124"/>
      <c r="Q31" s="178"/>
    </row>
    <row r="33" spans="1:19" ht="15.75" thickBot="1" x14ac:dyDescent="0.3">
      <c r="A33" s="226">
        <f>C33-B33</f>
        <v>-1</v>
      </c>
      <c r="B33" s="168">
        <f>SUBTOTAL(9,B35:B52)</f>
        <v>1</v>
      </c>
      <c r="C33" s="168">
        <f>SUBTOTAL(9,C35:C52)</f>
        <v>0</v>
      </c>
      <c r="D33" s="21">
        <f>SUBTOTAL(3,D35:D52)</f>
        <v>0</v>
      </c>
      <c r="E33" s="21">
        <f>SUBTOTAL(9,M35:M52)</f>
        <v>18</v>
      </c>
      <c r="F33" s="125">
        <f t="shared" ref="F33:K33" si="33">SUBTOTAL(9,F35:F52)</f>
        <v>0</v>
      </c>
      <c r="G33" s="106">
        <f t="shared" si="33"/>
        <v>0</v>
      </c>
      <c r="H33" s="106">
        <f t="shared" si="33"/>
        <v>100</v>
      </c>
      <c r="I33" s="106">
        <f t="shared" ca="1" si="33"/>
        <v>0</v>
      </c>
      <c r="J33" s="106">
        <f t="shared" ca="1" si="33"/>
        <v>0</v>
      </c>
      <c r="K33" s="223">
        <f t="shared" ca="1" si="33"/>
        <v>0</v>
      </c>
      <c r="L33" s="200">
        <f ca="1">SUBTOTAL(9,L35:L46)</f>
        <v>12</v>
      </c>
      <c r="M33" s="125"/>
    </row>
    <row r="34" spans="1:19" ht="15.75" thickBot="1" x14ac:dyDescent="0.3">
      <c r="A34" s="95" t="s">
        <v>35</v>
      </c>
      <c r="B34" s="119" t="s">
        <v>2274</v>
      </c>
      <c r="C34" s="119" t="s">
        <v>26</v>
      </c>
      <c r="D34" s="96" t="s">
        <v>0</v>
      </c>
      <c r="E34" s="107" t="s">
        <v>2278</v>
      </c>
      <c r="F34" s="126" t="s">
        <v>2280</v>
      </c>
      <c r="G34" s="107" t="s">
        <v>4</v>
      </c>
      <c r="H34" s="107" t="s">
        <v>29</v>
      </c>
      <c r="I34" s="107" t="s">
        <v>23</v>
      </c>
      <c r="J34" s="111" t="s">
        <v>2918</v>
      </c>
      <c r="K34" s="219" t="s">
        <v>2919</v>
      </c>
      <c r="L34" s="201" t="s">
        <v>2920</v>
      </c>
      <c r="M34" s="127"/>
      <c r="Q34" s="137"/>
    </row>
    <row r="35" spans="1:19" x14ac:dyDescent="0.25">
      <c r="A35" s="157" t="s">
        <v>36</v>
      </c>
      <c r="B35" s="184">
        <v>0.5</v>
      </c>
      <c r="C35" s="184">
        <f t="shared" ref="C35:C52" si="34">(G35/IF($O$35&gt;0,$O$35,1))</f>
        <v>0</v>
      </c>
      <c r="D35" s="186"/>
      <c r="E35" s="187">
        <f ca="1">IFERROR(VLOOKUP(D35,Preços!B:C,2,0),0)</f>
        <v>0</v>
      </c>
      <c r="F35" s="202">
        <f>IFERROR(VLOOKUP(D35,Portfolio!C:D,2,0),0)</f>
        <v>0</v>
      </c>
      <c r="G35" s="187">
        <f>IFERROR(VLOOKUP(D35,Portfolio!C:I,7,0),0)</f>
        <v>0</v>
      </c>
      <c r="H35" s="187">
        <f t="shared" ref="H35:H52" si="35">B35*($O$35+$O$37)</f>
        <v>50</v>
      </c>
      <c r="I35" s="189">
        <f t="shared" ref="I35:I52" ca="1" si="36">IF((((IFERROR((H35-G35)/E35,0)+F35)*E35)/IF($O$35&gt;0,$O$35,1))&gt;C35,$O$37/$L$33,0)</f>
        <v>0</v>
      </c>
      <c r="J35" s="203">
        <f t="shared" ref="J35:J52" ca="1" si="37">IFERROR(I35/E35,0)</f>
        <v>0</v>
      </c>
      <c r="K35" s="224">
        <f t="shared" ref="K35:K52" ca="1" si="38">J35+F35</f>
        <v>0</v>
      </c>
      <c r="L35" s="210">
        <f t="shared" ref="L35:L52" ca="1" si="39">IF((G35/($O$21+$O$24))&lt;B35,1,0)</f>
        <v>1</v>
      </c>
      <c r="M35" s="114">
        <f t="shared" ref="M35:M52" si="40">IF(B35&gt;0,1,0)</f>
        <v>1</v>
      </c>
      <c r="N35" s="49" t="s">
        <v>27</v>
      </c>
      <c r="O35" s="100">
        <f>G33</f>
        <v>0</v>
      </c>
      <c r="P35" s="48"/>
      <c r="Q35" s="230">
        <f>D35</f>
        <v>0</v>
      </c>
      <c r="R35" s="227">
        <f>IF(B35&gt;0,$O$37/$E$33,0)</f>
        <v>5.5555555555555554</v>
      </c>
      <c r="S35" s="137"/>
    </row>
    <row r="36" spans="1:19" x14ac:dyDescent="0.25">
      <c r="A36" s="157" t="s">
        <v>36</v>
      </c>
      <c r="B36" s="184">
        <v>0.2</v>
      </c>
      <c r="C36" s="184">
        <f t="shared" si="34"/>
        <v>0</v>
      </c>
      <c r="D36" s="186"/>
      <c r="E36" s="187">
        <f ca="1">IFERROR(VLOOKUP(D36,Preços!B:C,2,0),0)</f>
        <v>0</v>
      </c>
      <c r="F36" s="202">
        <f>IFERROR(VLOOKUP(D36,Portfolio!C:D,2,0),0)</f>
        <v>0</v>
      </c>
      <c r="G36" s="187">
        <f>IFERROR(VLOOKUP(D36,Portfolio!C:I,7,0),0)</f>
        <v>0</v>
      </c>
      <c r="H36" s="187">
        <f t="shared" si="35"/>
        <v>20</v>
      </c>
      <c r="I36" s="189">
        <f ca="1">IF((((IFERROR((H36-G36)/E36,0)+F36)*E36)/IF($O$35&gt;0,$O$35,1))&gt;C36,$O$37/$L$33,0)</f>
        <v>0</v>
      </c>
      <c r="J36" s="203">
        <f t="shared" ca="1" si="37"/>
        <v>0</v>
      </c>
      <c r="K36" s="224">
        <f t="shared" ca="1" si="38"/>
        <v>0</v>
      </c>
      <c r="L36" s="210">
        <f t="shared" ca="1" si="39"/>
        <v>1</v>
      </c>
      <c r="M36" s="114">
        <f t="shared" si="40"/>
        <v>1</v>
      </c>
      <c r="N36" s="101" t="s">
        <v>2279</v>
      </c>
      <c r="O36" s="102">
        <f>(O35/IF(Consolidado!$J$2&gt;0,Consolidado!$J$2,1))</f>
        <v>0</v>
      </c>
      <c r="P36" s="175"/>
      <c r="Q36" s="230">
        <f t="shared" ref="Q36:Q52" si="41">D36</f>
        <v>0</v>
      </c>
      <c r="R36" s="227">
        <f t="shared" ref="R36:R52" si="42">IF(B36&gt;0,$O$37/$E$33,0)</f>
        <v>5.5555555555555554</v>
      </c>
      <c r="S36" s="137"/>
    </row>
    <row r="37" spans="1:19" ht="15.75" thickBot="1" x14ac:dyDescent="0.3">
      <c r="A37" s="157" t="s">
        <v>36</v>
      </c>
      <c r="B37" s="184">
        <v>0.1</v>
      </c>
      <c r="C37" s="184">
        <f t="shared" si="34"/>
        <v>0</v>
      </c>
      <c r="D37" s="186"/>
      <c r="E37" s="187">
        <f ca="1">IFERROR(VLOOKUP(D37,Preços!B:C,2,0),0)</f>
        <v>0</v>
      </c>
      <c r="F37" s="202">
        <f>IFERROR(VLOOKUP(D37,Portfolio!C:D,2,0),0)</f>
        <v>0</v>
      </c>
      <c r="G37" s="187">
        <f>IFERROR(VLOOKUP(D37,Portfolio!C:I,7,0),0)</f>
        <v>0</v>
      </c>
      <c r="H37" s="187">
        <f t="shared" si="35"/>
        <v>10</v>
      </c>
      <c r="I37" s="189">
        <f t="shared" ca="1" si="36"/>
        <v>0</v>
      </c>
      <c r="J37" s="203">
        <f t="shared" ca="1" si="37"/>
        <v>0</v>
      </c>
      <c r="K37" s="224">
        <f t="shared" ca="1" si="38"/>
        <v>0</v>
      </c>
      <c r="L37" s="210">
        <f t="shared" ca="1" si="39"/>
        <v>1</v>
      </c>
      <c r="M37" s="114">
        <f t="shared" si="40"/>
        <v>1</v>
      </c>
      <c r="N37" s="103" t="s">
        <v>23</v>
      </c>
      <c r="O37" s="56">
        <v>100</v>
      </c>
      <c r="P37" s="48"/>
      <c r="Q37" s="230">
        <f t="shared" si="41"/>
        <v>0</v>
      </c>
      <c r="R37" s="227">
        <f t="shared" si="42"/>
        <v>5.5555555555555554</v>
      </c>
      <c r="S37" s="137"/>
    </row>
    <row r="38" spans="1:19" x14ac:dyDescent="0.25">
      <c r="A38" s="157" t="s">
        <v>36</v>
      </c>
      <c r="B38" s="184">
        <v>0.02</v>
      </c>
      <c r="C38" s="184">
        <f t="shared" si="34"/>
        <v>0</v>
      </c>
      <c r="D38" s="186"/>
      <c r="E38" s="187">
        <f ca="1">IFERROR(VLOOKUP(D38,Preços!B:C,2,0),0)</f>
        <v>0</v>
      </c>
      <c r="F38" s="202">
        <f>IFERROR(VLOOKUP(D38,Portfolio!C:D,2,0),0)</f>
        <v>0</v>
      </c>
      <c r="G38" s="187">
        <f>IFERROR(VLOOKUP(D38,Portfolio!C:I,7,0),0)</f>
        <v>0</v>
      </c>
      <c r="H38" s="187">
        <f t="shared" si="35"/>
        <v>2</v>
      </c>
      <c r="I38" s="189">
        <f t="shared" ca="1" si="36"/>
        <v>0</v>
      </c>
      <c r="J38" s="203">
        <f t="shared" ca="1" si="37"/>
        <v>0</v>
      </c>
      <c r="K38" s="224">
        <f t="shared" ca="1" si="38"/>
        <v>0</v>
      </c>
      <c r="L38" s="210">
        <f t="shared" ca="1" si="39"/>
        <v>1</v>
      </c>
      <c r="M38" s="114">
        <f t="shared" si="40"/>
        <v>1</v>
      </c>
      <c r="O38" s="137"/>
      <c r="Q38" s="230">
        <f t="shared" si="41"/>
        <v>0</v>
      </c>
      <c r="R38" s="227">
        <f t="shared" si="42"/>
        <v>5.5555555555555554</v>
      </c>
      <c r="S38" s="137"/>
    </row>
    <row r="39" spans="1:19" x14ac:dyDescent="0.25">
      <c r="A39" s="157" t="s">
        <v>36</v>
      </c>
      <c r="B39" s="184">
        <v>0.02</v>
      </c>
      <c r="C39" s="184">
        <f t="shared" si="34"/>
        <v>0</v>
      </c>
      <c r="D39" s="186"/>
      <c r="E39" s="187">
        <f ca="1">IFERROR(VLOOKUP(D39,Preços!B:C,2,0),0)</f>
        <v>0</v>
      </c>
      <c r="F39" s="202">
        <f>IFERROR(VLOOKUP(D39,Portfolio!C:D,2,0),0)</f>
        <v>0</v>
      </c>
      <c r="G39" s="187">
        <f>IFERROR(VLOOKUP(D39,Portfolio!C:I,7,0),0)</f>
        <v>0</v>
      </c>
      <c r="H39" s="187">
        <f t="shared" si="35"/>
        <v>2</v>
      </c>
      <c r="I39" s="189">
        <f t="shared" ca="1" si="36"/>
        <v>0</v>
      </c>
      <c r="J39" s="203">
        <f t="shared" ca="1" si="37"/>
        <v>0</v>
      </c>
      <c r="K39" s="224">
        <f t="shared" ca="1" si="38"/>
        <v>0</v>
      </c>
      <c r="L39" s="210">
        <f t="shared" ca="1" si="39"/>
        <v>1</v>
      </c>
      <c r="M39" s="114">
        <f t="shared" si="40"/>
        <v>1</v>
      </c>
      <c r="Q39" s="230">
        <f t="shared" si="41"/>
        <v>0</v>
      </c>
      <c r="R39" s="227">
        <f t="shared" si="42"/>
        <v>5.5555555555555554</v>
      </c>
      <c r="S39" s="137"/>
    </row>
    <row r="40" spans="1:19" x14ac:dyDescent="0.25">
      <c r="A40" s="157" t="s">
        <v>36</v>
      </c>
      <c r="B40" s="184">
        <v>0.02</v>
      </c>
      <c r="C40" s="184">
        <f t="shared" si="34"/>
        <v>0</v>
      </c>
      <c r="D40" s="186"/>
      <c r="E40" s="187">
        <f ca="1">IFERROR(VLOOKUP(D40,Preços!B:C,2,0),0)</f>
        <v>0</v>
      </c>
      <c r="F40" s="202">
        <f>IFERROR(VLOOKUP(D40,Portfolio!C:D,2,0),0)</f>
        <v>0</v>
      </c>
      <c r="G40" s="187">
        <f>IFERROR(VLOOKUP(D40,Portfolio!C:I,7,0),0)</f>
        <v>0</v>
      </c>
      <c r="H40" s="187">
        <f t="shared" si="35"/>
        <v>2</v>
      </c>
      <c r="I40" s="189">
        <f t="shared" ca="1" si="36"/>
        <v>0</v>
      </c>
      <c r="J40" s="203">
        <f t="shared" ca="1" si="37"/>
        <v>0</v>
      </c>
      <c r="K40" s="224">
        <f t="shared" ca="1" si="38"/>
        <v>0</v>
      </c>
      <c r="L40" s="210">
        <f t="shared" ca="1" si="39"/>
        <v>1</v>
      </c>
      <c r="M40" s="114">
        <f t="shared" si="40"/>
        <v>1</v>
      </c>
      <c r="Q40" s="230">
        <f t="shared" si="41"/>
        <v>0</v>
      </c>
      <c r="R40" s="227">
        <f t="shared" si="42"/>
        <v>5.5555555555555554</v>
      </c>
      <c r="S40" s="137"/>
    </row>
    <row r="41" spans="1:19" x14ac:dyDescent="0.25">
      <c r="A41" s="157" t="s">
        <v>36</v>
      </c>
      <c r="B41" s="184">
        <v>0.02</v>
      </c>
      <c r="C41" s="184">
        <f t="shared" si="34"/>
        <v>0</v>
      </c>
      <c r="D41" s="186"/>
      <c r="E41" s="187">
        <f ca="1">IFERROR(VLOOKUP(D41,Preços!B:C,2,0),0)</f>
        <v>0</v>
      </c>
      <c r="F41" s="202">
        <f>IFERROR(VLOOKUP(D41,Portfolio!C:D,2,0),0)</f>
        <v>0</v>
      </c>
      <c r="G41" s="187">
        <f>IFERROR(VLOOKUP(D41,Portfolio!C:I,7,0),0)</f>
        <v>0</v>
      </c>
      <c r="H41" s="187">
        <f t="shared" si="35"/>
        <v>2</v>
      </c>
      <c r="I41" s="189">
        <f t="shared" ca="1" si="36"/>
        <v>0</v>
      </c>
      <c r="J41" s="203">
        <f t="shared" ca="1" si="37"/>
        <v>0</v>
      </c>
      <c r="K41" s="224">
        <f t="shared" ca="1" si="38"/>
        <v>0</v>
      </c>
      <c r="L41" s="210">
        <f t="shared" ca="1" si="39"/>
        <v>1</v>
      </c>
      <c r="M41" s="114">
        <f t="shared" si="40"/>
        <v>1</v>
      </c>
      <c r="Q41" s="230">
        <f t="shared" si="41"/>
        <v>0</v>
      </c>
      <c r="R41" s="227">
        <f t="shared" si="42"/>
        <v>5.5555555555555554</v>
      </c>
      <c r="S41" s="137"/>
    </row>
    <row r="42" spans="1:19" ht="15.75" thickBot="1" x14ac:dyDescent="0.3">
      <c r="A42" s="159" t="s">
        <v>36</v>
      </c>
      <c r="B42" s="190">
        <v>0.02</v>
      </c>
      <c r="C42" s="190">
        <f t="shared" si="34"/>
        <v>0</v>
      </c>
      <c r="D42" s="160"/>
      <c r="E42" s="161">
        <f ca="1">IFERROR(VLOOKUP(D42,Preços!B:C,2,0),0)</f>
        <v>0</v>
      </c>
      <c r="F42" s="204">
        <f>IFERROR(VLOOKUP(D42,Portfolio!C:D,2,0),0)</f>
        <v>0</v>
      </c>
      <c r="G42" s="161">
        <f>IFERROR(VLOOKUP(D42,Portfolio!C:I,7,0),0)</f>
        <v>0</v>
      </c>
      <c r="H42" s="161">
        <f t="shared" si="35"/>
        <v>2</v>
      </c>
      <c r="I42" s="191">
        <f t="shared" ca="1" si="36"/>
        <v>0</v>
      </c>
      <c r="J42" s="205">
        <f t="shared" ca="1" si="37"/>
        <v>0</v>
      </c>
      <c r="K42" s="225">
        <f t="shared" ca="1" si="38"/>
        <v>0</v>
      </c>
      <c r="L42" s="210">
        <f t="shared" ca="1" si="39"/>
        <v>1</v>
      </c>
      <c r="M42" s="114">
        <f t="shared" si="40"/>
        <v>1</v>
      </c>
      <c r="Q42" s="230">
        <f t="shared" si="41"/>
        <v>0</v>
      </c>
      <c r="R42" s="227">
        <f t="shared" si="42"/>
        <v>5.5555555555555554</v>
      </c>
      <c r="S42" s="137"/>
    </row>
    <row r="43" spans="1:19" x14ac:dyDescent="0.25">
      <c r="A43" s="231" t="s">
        <v>36</v>
      </c>
      <c r="B43" s="232">
        <v>0.01</v>
      </c>
      <c r="C43" s="232">
        <f t="shared" si="34"/>
        <v>0</v>
      </c>
      <c r="D43" s="233"/>
      <c r="E43" s="234">
        <f ca="1">IFERROR(VLOOKUP(D43,Preços!B:C,2,0),0)</f>
        <v>0</v>
      </c>
      <c r="F43" s="235">
        <f>IFERROR(VLOOKUP(D43,Portfolio!C:D,2,0),0)</f>
        <v>0</v>
      </c>
      <c r="G43" s="234">
        <f>IFERROR(VLOOKUP(D43,Portfolio!C:I,7,0),0)</f>
        <v>0</v>
      </c>
      <c r="H43" s="234">
        <f t="shared" si="35"/>
        <v>1</v>
      </c>
      <c r="I43" s="236">
        <f t="shared" ca="1" si="36"/>
        <v>0</v>
      </c>
      <c r="J43" s="237">
        <f t="shared" ca="1" si="37"/>
        <v>0</v>
      </c>
      <c r="K43" s="224">
        <f t="shared" ca="1" si="38"/>
        <v>0</v>
      </c>
      <c r="L43" s="210">
        <f t="shared" ca="1" si="39"/>
        <v>1</v>
      </c>
      <c r="M43" s="114">
        <f t="shared" si="40"/>
        <v>1</v>
      </c>
      <c r="Q43" s="230">
        <f t="shared" si="41"/>
        <v>0</v>
      </c>
      <c r="R43" s="227">
        <f t="shared" si="42"/>
        <v>5.5555555555555554</v>
      </c>
      <c r="S43" s="137"/>
    </row>
    <row r="44" spans="1:19" x14ac:dyDescent="0.25">
      <c r="A44" s="157" t="s">
        <v>36</v>
      </c>
      <c r="B44" s="184">
        <v>0.01</v>
      </c>
      <c r="C44" s="184">
        <f t="shared" si="34"/>
        <v>0</v>
      </c>
      <c r="D44" s="186"/>
      <c r="E44" s="187">
        <f ca="1">IFERROR(VLOOKUP(D44,Preços!B:C,2,0),0)</f>
        <v>0</v>
      </c>
      <c r="F44" s="202">
        <f>IFERROR(VLOOKUP(D44,Portfolio!C:D,2,0),0)</f>
        <v>0</v>
      </c>
      <c r="G44" s="187">
        <f>IFERROR(VLOOKUP(D44,Portfolio!C:I,7,0),0)</f>
        <v>0</v>
      </c>
      <c r="H44" s="187">
        <f t="shared" si="35"/>
        <v>1</v>
      </c>
      <c r="I44" s="189">
        <f t="shared" ca="1" si="36"/>
        <v>0</v>
      </c>
      <c r="J44" s="203">
        <f t="shared" ca="1" si="37"/>
        <v>0</v>
      </c>
      <c r="K44" s="224">
        <f t="shared" ca="1" si="38"/>
        <v>0</v>
      </c>
      <c r="L44" s="210">
        <f t="shared" ca="1" si="39"/>
        <v>1</v>
      </c>
      <c r="M44" s="114">
        <f t="shared" si="40"/>
        <v>1</v>
      </c>
      <c r="Q44" s="230">
        <f t="shared" si="41"/>
        <v>0</v>
      </c>
      <c r="R44" s="227">
        <f t="shared" si="42"/>
        <v>5.5555555555555554</v>
      </c>
      <c r="S44" s="137"/>
    </row>
    <row r="45" spans="1:19" x14ac:dyDescent="0.25">
      <c r="A45" s="157" t="s">
        <v>36</v>
      </c>
      <c r="B45" s="184">
        <v>0.01</v>
      </c>
      <c r="C45" s="184">
        <f t="shared" si="34"/>
        <v>0</v>
      </c>
      <c r="D45" s="186"/>
      <c r="E45" s="187">
        <f ca="1">IFERROR(VLOOKUP(D45,Preços!B:C,2,0),0)</f>
        <v>0</v>
      </c>
      <c r="F45" s="202">
        <f>IFERROR(VLOOKUP(D45,Portfolio!C:D,2,0),0)</f>
        <v>0</v>
      </c>
      <c r="G45" s="187">
        <f>IFERROR(VLOOKUP(D45,Portfolio!C:I,7,0),0)</f>
        <v>0</v>
      </c>
      <c r="H45" s="187">
        <f t="shared" si="35"/>
        <v>1</v>
      </c>
      <c r="I45" s="189">
        <f t="shared" ca="1" si="36"/>
        <v>0</v>
      </c>
      <c r="J45" s="203">
        <f t="shared" ca="1" si="37"/>
        <v>0</v>
      </c>
      <c r="K45" s="224">
        <f t="shared" ca="1" si="38"/>
        <v>0</v>
      </c>
      <c r="L45" s="210">
        <f t="shared" ca="1" si="39"/>
        <v>1</v>
      </c>
      <c r="M45" s="114">
        <f t="shared" si="40"/>
        <v>1</v>
      </c>
      <c r="Q45" s="230">
        <f t="shared" si="41"/>
        <v>0</v>
      </c>
      <c r="R45" s="227">
        <f t="shared" si="42"/>
        <v>5.5555555555555554</v>
      </c>
      <c r="S45" s="137"/>
    </row>
    <row r="46" spans="1:19" x14ac:dyDescent="0.25">
      <c r="A46" s="157" t="s">
        <v>36</v>
      </c>
      <c r="B46" s="184">
        <v>0.01</v>
      </c>
      <c r="C46" s="184">
        <f t="shared" si="34"/>
        <v>0</v>
      </c>
      <c r="D46" s="186"/>
      <c r="E46" s="187">
        <f ca="1">IFERROR(VLOOKUP(D46,Preços!B:C,2,0),0)</f>
        <v>0</v>
      </c>
      <c r="F46" s="202">
        <f>IFERROR(VLOOKUP(D46,Portfolio!C:D,2,0),0)</f>
        <v>0</v>
      </c>
      <c r="G46" s="187">
        <f>IFERROR(VLOOKUP(D46,Portfolio!C:I,7,0),0)</f>
        <v>0</v>
      </c>
      <c r="H46" s="187">
        <f t="shared" si="35"/>
        <v>1</v>
      </c>
      <c r="I46" s="189">
        <f t="shared" ca="1" si="36"/>
        <v>0</v>
      </c>
      <c r="J46" s="203">
        <f t="shared" ca="1" si="37"/>
        <v>0</v>
      </c>
      <c r="K46" s="224">
        <f t="shared" ca="1" si="38"/>
        <v>0</v>
      </c>
      <c r="L46" s="210">
        <f t="shared" ca="1" si="39"/>
        <v>1</v>
      </c>
      <c r="M46" s="114">
        <f t="shared" si="40"/>
        <v>1</v>
      </c>
      <c r="Q46" s="230">
        <f t="shared" si="41"/>
        <v>0</v>
      </c>
      <c r="R46" s="227">
        <f t="shared" si="42"/>
        <v>5.5555555555555554</v>
      </c>
      <c r="S46" s="137"/>
    </row>
    <row r="47" spans="1:19" x14ac:dyDescent="0.25">
      <c r="A47" s="157" t="s">
        <v>36</v>
      </c>
      <c r="B47" s="184">
        <v>0.01</v>
      </c>
      <c r="C47" s="184">
        <f t="shared" ref="C47:C51" si="43">(G47/IF($O$35&gt;0,$O$35,1))</f>
        <v>0</v>
      </c>
      <c r="D47" s="186"/>
      <c r="E47" s="187">
        <f ca="1">IFERROR(VLOOKUP(D47,Preços!B:C,2,0),0)</f>
        <v>0</v>
      </c>
      <c r="F47" s="202">
        <f>IFERROR(VLOOKUP(D47,Portfolio!C:D,2,0),0)</f>
        <v>0</v>
      </c>
      <c r="G47" s="187">
        <f>IFERROR(VLOOKUP(D47,Portfolio!C:I,7,0),0)</f>
        <v>0</v>
      </c>
      <c r="H47" s="187">
        <f t="shared" ref="H47:H51" si="44">B47*($O$35+$O$37)</f>
        <v>1</v>
      </c>
      <c r="I47" s="189">
        <f t="shared" ref="I47:I51" ca="1" si="45">IF((((IFERROR((H47-G47)/E47,0)+F47)*E47)/IF($O$35&gt;0,$O$35,1))&gt;C47,$O$37/$L$33,0)</f>
        <v>0</v>
      </c>
      <c r="J47" s="203">
        <f t="shared" ref="J47:J51" ca="1" si="46">IFERROR(I47/E47,0)</f>
        <v>0</v>
      </c>
      <c r="K47" s="224">
        <f t="shared" ref="K47:K51" ca="1" si="47">J47+F47</f>
        <v>0</v>
      </c>
      <c r="L47" s="210">
        <f t="shared" ca="1" si="39"/>
        <v>1</v>
      </c>
      <c r="M47" s="114">
        <f t="shared" ref="M47:M51" si="48">IF(B47&gt;0,1,0)</f>
        <v>1</v>
      </c>
      <c r="Q47" s="230">
        <f t="shared" ref="Q47:Q51" si="49">D47</f>
        <v>0</v>
      </c>
      <c r="R47" s="227">
        <f t="shared" ref="R47:R51" si="50">IF(B47&gt;0,$O$37/$E$33,0)</f>
        <v>5.5555555555555554</v>
      </c>
      <c r="S47" s="137"/>
    </row>
    <row r="48" spans="1:19" x14ac:dyDescent="0.25">
      <c r="A48" s="157" t="s">
        <v>36</v>
      </c>
      <c r="B48" s="184">
        <v>0.01</v>
      </c>
      <c r="C48" s="184">
        <f t="shared" si="43"/>
        <v>0</v>
      </c>
      <c r="D48" s="186"/>
      <c r="E48" s="187">
        <f ca="1">IFERROR(VLOOKUP(D48,Preços!B:C,2,0),0)</f>
        <v>0</v>
      </c>
      <c r="F48" s="202">
        <f>IFERROR(VLOOKUP(D48,Portfolio!C:D,2,0),0)</f>
        <v>0</v>
      </c>
      <c r="G48" s="187">
        <f>IFERROR(VLOOKUP(D48,Portfolio!C:I,7,0),0)</f>
        <v>0</v>
      </c>
      <c r="H48" s="187">
        <f t="shared" si="44"/>
        <v>1</v>
      </c>
      <c r="I48" s="189">
        <f t="shared" ca="1" si="45"/>
        <v>0</v>
      </c>
      <c r="J48" s="203">
        <f t="shared" ca="1" si="46"/>
        <v>0</v>
      </c>
      <c r="K48" s="224">
        <f t="shared" ca="1" si="47"/>
        <v>0</v>
      </c>
      <c r="L48" s="210">
        <f t="shared" ca="1" si="39"/>
        <v>1</v>
      </c>
      <c r="M48" s="114">
        <f t="shared" si="48"/>
        <v>1</v>
      </c>
      <c r="Q48" s="230">
        <f t="shared" si="49"/>
        <v>0</v>
      </c>
      <c r="R48" s="227">
        <f t="shared" si="50"/>
        <v>5.5555555555555554</v>
      </c>
      <c r="S48" s="137"/>
    </row>
    <row r="49" spans="1:19" x14ac:dyDescent="0.25">
      <c r="A49" s="157" t="s">
        <v>36</v>
      </c>
      <c r="B49" s="184">
        <v>0.01</v>
      </c>
      <c r="C49" s="184">
        <f t="shared" si="43"/>
        <v>0</v>
      </c>
      <c r="D49" s="186"/>
      <c r="E49" s="187">
        <f ca="1">IFERROR(VLOOKUP(D49,Preços!B:C,2,0),0)</f>
        <v>0</v>
      </c>
      <c r="F49" s="202">
        <f>IFERROR(VLOOKUP(D49,Portfolio!C:D,2,0),0)</f>
        <v>0</v>
      </c>
      <c r="G49" s="187">
        <f>IFERROR(VLOOKUP(D49,Portfolio!C:I,7,0),0)</f>
        <v>0</v>
      </c>
      <c r="H49" s="187">
        <f t="shared" si="44"/>
        <v>1</v>
      </c>
      <c r="I49" s="189">
        <f t="shared" ca="1" si="45"/>
        <v>0</v>
      </c>
      <c r="J49" s="203">
        <f t="shared" ca="1" si="46"/>
        <v>0</v>
      </c>
      <c r="K49" s="224">
        <f t="shared" ca="1" si="47"/>
        <v>0</v>
      </c>
      <c r="L49" s="210">
        <f t="shared" ca="1" si="39"/>
        <v>1</v>
      </c>
      <c r="M49" s="114">
        <f t="shared" si="48"/>
        <v>1</v>
      </c>
      <c r="Q49" s="230">
        <f t="shared" si="49"/>
        <v>0</v>
      </c>
      <c r="R49" s="227">
        <f t="shared" si="50"/>
        <v>5.5555555555555554</v>
      </c>
      <c r="S49" s="137"/>
    </row>
    <row r="50" spans="1:19" x14ac:dyDescent="0.25">
      <c r="A50" s="157" t="s">
        <v>36</v>
      </c>
      <c r="B50" s="184">
        <v>0.01</v>
      </c>
      <c r="C50" s="184">
        <f t="shared" si="43"/>
        <v>0</v>
      </c>
      <c r="D50" s="186"/>
      <c r="E50" s="187">
        <f ca="1">IFERROR(VLOOKUP(D50,Preços!B:C,2,0),0)</f>
        <v>0</v>
      </c>
      <c r="F50" s="202">
        <f>IFERROR(VLOOKUP(D50,Portfolio!C:D,2,0),0)</f>
        <v>0</v>
      </c>
      <c r="G50" s="187">
        <f>IFERROR(VLOOKUP(D50,Portfolio!C:I,7,0),0)</f>
        <v>0</v>
      </c>
      <c r="H50" s="187">
        <f t="shared" si="44"/>
        <v>1</v>
      </c>
      <c r="I50" s="189">
        <f t="shared" ca="1" si="45"/>
        <v>0</v>
      </c>
      <c r="J50" s="203">
        <f t="shared" ca="1" si="46"/>
        <v>0</v>
      </c>
      <c r="K50" s="224">
        <f t="shared" ca="1" si="47"/>
        <v>0</v>
      </c>
      <c r="L50" s="210">
        <f t="shared" ca="1" si="39"/>
        <v>1</v>
      </c>
      <c r="M50" s="114">
        <f t="shared" si="48"/>
        <v>1</v>
      </c>
      <c r="Q50" s="230">
        <f t="shared" si="49"/>
        <v>0</v>
      </c>
      <c r="R50" s="227">
        <f t="shared" si="50"/>
        <v>5.5555555555555554</v>
      </c>
      <c r="S50" s="137"/>
    </row>
    <row r="51" spans="1:19" x14ac:dyDescent="0.25">
      <c r="A51" s="157" t="s">
        <v>36</v>
      </c>
      <c r="B51" s="184">
        <v>0.01</v>
      </c>
      <c r="C51" s="184">
        <f t="shared" si="43"/>
        <v>0</v>
      </c>
      <c r="D51" s="186"/>
      <c r="E51" s="187">
        <f ca="1">IFERROR(VLOOKUP(D51,Preços!B:C,2,0),0)</f>
        <v>0</v>
      </c>
      <c r="F51" s="202">
        <f>IFERROR(VLOOKUP(D51,Portfolio!C:D,2,0),0)</f>
        <v>0</v>
      </c>
      <c r="G51" s="187">
        <f>IFERROR(VLOOKUP(D51,Portfolio!C:I,7,0),0)</f>
        <v>0</v>
      </c>
      <c r="H51" s="187">
        <f t="shared" si="44"/>
        <v>1</v>
      </c>
      <c r="I51" s="189">
        <f t="shared" ca="1" si="45"/>
        <v>0</v>
      </c>
      <c r="J51" s="203">
        <f t="shared" ca="1" si="46"/>
        <v>0</v>
      </c>
      <c r="K51" s="224">
        <f t="shared" ca="1" si="47"/>
        <v>0</v>
      </c>
      <c r="L51" s="210">
        <f t="shared" ca="1" si="39"/>
        <v>1</v>
      </c>
      <c r="M51" s="114">
        <f t="shared" si="48"/>
        <v>1</v>
      </c>
      <c r="Q51" s="230">
        <f t="shared" si="49"/>
        <v>0</v>
      </c>
      <c r="R51" s="227">
        <f t="shared" si="50"/>
        <v>5.5555555555555554</v>
      </c>
      <c r="S51" s="137"/>
    </row>
    <row r="52" spans="1:19" ht="15.75" thickBot="1" x14ac:dyDescent="0.3">
      <c r="A52" s="159" t="s">
        <v>36</v>
      </c>
      <c r="B52" s="190">
        <v>0.01</v>
      </c>
      <c r="C52" s="190">
        <f t="shared" si="34"/>
        <v>0</v>
      </c>
      <c r="D52" s="160"/>
      <c r="E52" s="161">
        <f ca="1">IFERROR(VLOOKUP(D52,Preços!B:C,2,0),0)</f>
        <v>0</v>
      </c>
      <c r="F52" s="204">
        <f>IFERROR(VLOOKUP(D52,Portfolio!C:D,2,0),0)</f>
        <v>0</v>
      </c>
      <c r="G52" s="161">
        <f>IFERROR(VLOOKUP(D52,Portfolio!C:I,7,0),0)</f>
        <v>0</v>
      </c>
      <c r="H52" s="161">
        <f t="shared" si="35"/>
        <v>1</v>
      </c>
      <c r="I52" s="191">
        <f t="shared" ca="1" si="36"/>
        <v>0</v>
      </c>
      <c r="J52" s="205">
        <f t="shared" ca="1" si="37"/>
        <v>0</v>
      </c>
      <c r="K52" s="225">
        <f t="shared" ca="1" si="38"/>
        <v>0</v>
      </c>
      <c r="L52" s="211">
        <f t="shared" ca="1" si="39"/>
        <v>1</v>
      </c>
      <c r="M52" s="114">
        <f t="shared" si="40"/>
        <v>1</v>
      </c>
      <c r="Q52" s="230">
        <f t="shared" si="41"/>
        <v>0</v>
      </c>
      <c r="R52" s="227">
        <f t="shared" si="42"/>
        <v>5.5555555555555554</v>
      </c>
      <c r="S52" s="137"/>
    </row>
    <row r="54" spans="1:19" ht="15.75" thickBot="1" x14ac:dyDescent="0.3">
      <c r="A54" s="226">
        <f>C54-B54</f>
        <v>-1.0000000000000002</v>
      </c>
      <c r="B54" s="168">
        <f>SUBTOTAL(9,B56:B68)</f>
        <v>1.0000000000000002</v>
      </c>
      <c r="C54" s="168">
        <f>SUBTOTAL(9,C56:C68)</f>
        <v>0</v>
      </c>
      <c r="D54" s="21">
        <f>SUBTOTAL(3,D56:D68)</f>
        <v>0</v>
      </c>
      <c r="E54" s="21">
        <f>SUBTOTAL(9,M56:M68)</f>
        <v>9</v>
      </c>
      <c r="F54" s="125">
        <f t="shared" ref="F54:K54" si="51">SUBTOTAL(9,F56:F68)</f>
        <v>0</v>
      </c>
      <c r="G54" s="106">
        <f>SUBTOTAL(9,G56:G68)</f>
        <v>0</v>
      </c>
      <c r="H54" s="106">
        <f t="shared" si="51"/>
        <v>100</v>
      </c>
      <c r="I54" s="106">
        <f t="shared" ca="1" si="51"/>
        <v>0</v>
      </c>
      <c r="J54" s="106">
        <f t="shared" ca="1" si="51"/>
        <v>0</v>
      </c>
      <c r="K54" s="223">
        <f t="shared" ca="1" si="51"/>
        <v>0</v>
      </c>
      <c r="L54" s="200">
        <f t="shared" ref="L54" ca="1" si="52">SUBTOTAL(9,L56:L66)</f>
        <v>9</v>
      </c>
      <c r="M54" s="125"/>
    </row>
    <row r="55" spans="1:19" ht="15.75" thickBot="1" x14ac:dyDescent="0.3">
      <c r="A55" s="95" t="s">
        <v>35</v>
      </c>
      <c r="B55" s="119" t="s">
        <v>2274</v>
      </c>
      <c r="C55" s="119" t="s">
        <v>26</v>
      </c>
      <c r="D55" s="96" t="s">
        <v>0</v>
      </c>
      <c r="E55" s="107" t="s">
        <v>2278</v>
      </c>
      <c r="F55" s="126" t="s">
        <v>2280</v>
      </c>
      <c r="G55" s="107" t="s">
        <v>4</v>
      </c>
      <c r="H55" s="107" t="s">
        <v>29</v>
      </c>
      <c r="I55" s="107" t="s">
        <v>23</v>
      </c>
      <c r="J55" s="111" t="s">
        <v>2918</v>
      </c>
      <c r="K55" s="219" t="s">
        <v>2919</v>
      </c>
      <c r="L55" s="201" t="s">
        <v>2920</v>
      </c>
      <c r="M55" s="127"/>
      <c r="Q55" s="137"/>
    </row>
    <row r="56" spans="1:19" x14ac:dyDescent="0.25">
      <c r="A56" s="157" t="s">
        <v>2942</v>
      </c>
      <c r="B56" s="184">
        <v>0.3</v>
      </c>
      <c r="C56" s="184">
        <f t="shared" ref="C56:C68" si="53">(G56/IF($O$35&gt;0,$O$35,1))</f>
        <v>0</v>
      </c>
      <c r="D56" s="186"/>
      <c r="E56" s="187">
        <f ca="1">IFERROR(VLOOKUP(D56,Preços!B:C,2,0),0)</f>
        <v>0</v>
      </c>
      <c r="F56" s="202">
        <f>IFERROR(VLOOKUP(D56,Portfolio!C:D,2,0),0)</f>
        <v>0</v>
      </c>
      <c r="G56" s="187">
        <f>IFERROR(VLOOKUP(D56,Portfolio!C:I,7,0),0)</f>
        <v>0</v>
      </c>
      <c r="H56" s="187">
        <f t="shared" ref="H56:H68" si="54">B56*($O$35+$O$37)</f>
        <v>30</v>
      </c>
      <c r="I56" s="189">
        <f t="shared" ref="I56:I68" ca="1" si="55">IF((((IFERROR((H56-G56)/E56,0)+F56)*E56)/IF($O$35&gt;0,$O$35,1))&gt;C56,$O$37/$L$33,0)</f>
        <v>0</v>
      </c>
      <c r="J56" s="203">
        <f t="shared" ref="J56:J68" ca="1" si="56">IFERROR(I56/E56,0)</f>
        <v>0</v>
      </c>
      <c r="K56" s="224">
        <f t="shared" ref="K56:K68" ca="1" si="57">J56+F56</f>
        <v>0</v>
      </c>
      <c r="L56" s="210">
        <f t="shared" ref="L56:L68" ca="1" si="58">IF((G56/($O$21+$O$24))&lt;B56,1,0)</f>
        <v>1</v>
      </c>
      <c r="M56" s="114">
        <f t="shared" ref="M56:M68" si="59">IF(B56&gt;0,1,0)</f>
        <v>1</v>
      </c>
      <c r="N56" s="49" t="s">
        <v>27</v>
      </c>
      <c r="O56" s="100">
        <f>G54</f>
        <v>0</v>
      </c>
      <c r="P56" s="48"/>
      <c r="Q56" s="137"/>
    </row>
    <row r="57" spans="1:19" x14ac:dyDescent="0.25">
      <c r="A57" s="157" t="s">
        <v>2942</v>
      </c>
      <c r="B57" s="184">
        <v>0.3</v>
      </c>
      <c r="C57" s="184">
        <f t="shared" si="53"/>
        <v>0</v>
      </c>
      <c r="D57" s="186"/>
      <c r="E57" s="187">
        <f ca="1">IFERROR(VLOOKUP(D57,Preços!B:C,2,0),0)</f>
        <v>0</v>
      </c>
      <c r="F57" s="202">
        <f>IFERROR(VLOOKUP(D57,Portfolio!C:D,2,0),0)</f>
        <v>0</v>
      </c>
      <c r="G57" s="187">
        <f>IFERROR(VLOOKUP(D57,Portfolio!C:I,7,0),0)</f>
        <v>0</v>
      </c>
      <c r="H57" s="187">
        <f t="shared" si="54"/>
        <v>30</v>
      </c>
      <c r="I57" s="189">
        <f t="shared" ca="1" si="55"/>
        <v>0</v>
      </c>
      <c r="J57" s="203">
        <f t="shared" ca="1" si="56"/>
        <v>0</v>
      </c>
      <c r="K57" s="224">
        <f t="shared" ca="1" si="57"/>
        <v>0</v>
      </c>
      <c r="L57" s="210">
        <f t="shared" ca="1" si="58"/>
        <v>1</v>
      </c>
      <c r="M57" s="114">
        <f t="shared" si="59"/>
        <v>1</v>
      </c>
      <c r="N57" s="101" t="s">
        <v>2279</v>
      </c>
      <c r="O57" s="102">
        <f>(O56/IF(Consolidado!$J$2&gt;0,Consolidado!$J$2,1))</f>
        <v>0</v>
      </c>
      <c r="P57" s="175"/>
      <c r="Q57" s="137"/>
    </row>
    <row r="58" spans="1:19" ht="15.75" thickBot="1" x14ac:dyDescent="0.3">
      <c r="A58" s="157" t="s">
        <v>2942</v>
      </c>
      <c r="B58" s="184">
        <v>0.2</v>
      </c>
      <c r="C58" s="184">
        <f t="shared" si="53"/>
        <v>0</v>
      </c>
      <c r="D58" s="186"/>
      <c r="E58" s="187">
        <f ca="1">IFERROR(VLOOKUP(D58,Preços!B:C,2,0),0)</f>
        <v>0</v>
      </c>
      <c r="F58" s="202">
        <f>IFERROR(VLOOKUP(D58,Portfolio!C:D,2,0),0)</f>
        <v>0</v>
      </c>
      <c r="G58" s="187">
        <f>IFERROR(VLOOKUP(D58,Portfolio!C:I,7,0),0)</f>
        <v>0</v>
      </c>
      <c r="H58" s="187">
        <f t="shared" si="54"/>
        <v>20</v>
      </c>
      <c r="I58" s="189">
        <f t="shared" ca="1" si="55"/>
        <v>0</v>
      </c>
      <c r="J58" s="203">
        <f t="shared" ca="1" si="56"/>
        <v>0</v>
      </c>
      <c r="K58" s="224">
        <f t="shared" ca="1" si="57"/>
        <v>0</v>
      </c>
      <c r="L58" s="210">
        <f t="shared" ca="1" si="58"/>
        <v>1</v>
      </c>
      <c r="M58" s="114">
        <f t="shared" si="59"/>
        <v>1</v>
      </c>
      <c r="N58" s="103" t="s">
        <v>23</v>
      </c>
      <c r="O58" s="56"/>
      <c r="P58" s="48"/>
      <c r="Q58" s="137"/>
    </row>
    <row r="59" spans="1:19" x14ac:dyDescent="0.25">
      <c r="A59" s="157" t="s">
        <v>2942</v>
      </c>
      <c r="B59" s="184">
        <v>0.04</v>
      </c>
      <c r="C59" s="184">
        <f t="shared" si="53"/>
        <v>0</v>
      </c>
      <c r="D59" s="186"/>
      <c r="E59" s="187">
        <f ca="1">IFERROR(VLOOKUP(D59,Preços!B:C,2,0),0)</f>
        <v>0</v>
      </c>
      <c r="F59" s="202">
        <f>IFERROR(VLOOKUP(D59,Portfolio!C:D,2,0),0)</f>
        <v>0</v>
      </c>
      <c r="G59" s="187">
        <f>IFERROR(VLOOKUP(D59,Portfolio!C:I,7,0),0)</f>
        <v>0</v>
      </c>
      <c r="H59" s="187">
        <f t="shared" si="54"/>
        <v>4</v>
      </c>
      <c r="I59" s="189">
        <f t="shared" ca="1" si="55"/>
        <v>0</v>
      </c>
      <c r="J59" s="203">
        <f t="shared" ca="1" si="56"/>
        <v>0</v>
      </c>
      <c r="K59" s="224">
        <f t="shared" ca="1" si="57"/>
        <v>0</v>
      </c>
      <c r="L59" s="210">
        <f t="shared" ca="1" si="58"/>
        <v>1</v>
      </c>
      <c r="M59" s="114">
        <f t="shared" si="59"/>
        <v>1</v>
      </c>
      <c r="Q59" s="137"/>
    </row>
    <row r="60" spans="1:19" x14ac:dyDescent="0.25">
      <c r="A60" s="157" t="s">
        <v>2942</v>
      </c>
      <c r="B60" s="184">
        <v>0.04</v>
      </c>
      <c r="C60" s="184">
        <f t="shared" si="53"/>
        <v>0</v>
      </c>
      <c r="D60" s="186"/>
      <c r="E60" s="187">
        <f ca="1">IFERROR(VLOOKUP(D60,Preços!B:C,2,0),0)</f>
        <v>0</v>
      </c>
      <c r="F60" s="202">
        <f>IFERROR(VLOOKUP(D60,Portfolio!C:D,2,0),0)</f>
        <v>0</v>
      </c>
      <c r="G60" s="187">
        <f>IFERROR(VLOOKUP(D60,Portfolio!C:I,7,0),0)</f>
        <v>0</v>
      </c>
      <c r="H60" s="187">
        <f t="shared" si="54"/>
        <v>4</v>
      </c>
      <c r="I60" s="189">
        <f t="shared" ca="1" si="55"/>
        <v>0</v>
      </c>
      <c r="J60" s="203">
        <f t="shared" ca="1" si="56"/>
        <v>0</v>
      </c>
      <c r="K60" s="224">
        <f t="shared" ca="1" si="57"/>
        <v>0</v>
      </c>
      <c r="L60" s="210">
        <f t="shared" ca="1" si="58"/>
        <v>1</v>
      </c>
      <c r="M60" s="114">
        <f t="shared" si="59"/>
        <v>1</v>
      </c>
      <c r="Q60" s="137"/>
    </row>
    <row r="61" spans="1:19" x14ac:dyDescent="0.25">
      <c r="A61" s="157" t="s">
        <v>2942</v>
      </c>
      <c r="B61" s="184">
        <v>0.03</v>
      </c>
      <c r="C61" s="184">
        <f t="shared" si="53"/>
        <v>0</v>
      </c>
      <c r="D61" s="186"/>
      <c r="E61" s="187">
        <f ca="1">IFERROR(VLOOKUP(D61,Preços!B:C,2,0),0)</f>
        <v>0</v>
      </c>
      <c r="F61" s="202">
        <f>IFERROR(VLOOKUP(D61,Portfolio!C:D,2,0),0)</f>
        <v>0</v>
      </c>
      <c r="G61" s="187">
        <f>IFERROR(VLOOKUP(D61,Portfolio!C:I,7,0),0)</f>
        <v>0</v>
      </c>
      <c r="H61" s="187">
        <f t="shared" si="54"/>
        <v>3</v>
      </c>
      <c r="I61" s="189">
        <f t="shared" ca="1" si="55"/>
        <v>0</v>
      </c>
      <c r="J61" s="203">
        <f t="shared" ca="1" si="56"/>
        <v>0</v>
      </c>
      <c r="K61" s="224">
        <f t="shared" ca="1" si="57"/>
        <v>0</v>
      </c>
      <c r="L61" s="210">
        <f t="shared" ca="1" si="58"/>
        <v>1</v>
      </c>
      <c r="M61" s="114">
        <f t="shared" si="59"/>
        <v>1</v>
      </c>
      <c r="Q61" s="137"/>
    </row>
    <row r="62" spans="1:19" x14ac:dyDescent="0.25">
      <c r="A62" s="157" t="s">
        <v>2942</v>
      </c>
      <c r="B62" s="184">
        <v>0.03</v>
      </c>
      <c r="C62" s="184">
        <f t="shared" si="53"/>
        <v>0</v>
      </c>
      <c r="D62" s="186"/>
      <c r="E62" s="187">
        <f ca="1">IFERROR(VLOOKUP(D62,Preços!B:C,2,0),0)</f>
        <v>0</v>
      </c>
      <c r="F62" s="202">
        <f>IFERROR(VLOOKUP(D62,Portfolio!C:D,2,0),0)</f>
        <v>0</v>
      </c>
      <c r="G62" s="187">
        <f>IFERROR(VLOOKUP(D62,Portfolio!C:I,7,0),0)</f>
        <v>0</v>
      </c>
      <c r="H62" s="187">
        <f t="shared" si="54"/>
        <v>3</v>
      </c>
      <c r="I62" s="189">
        <f t="shared" ca="1" si="55"/>
        <v>0</v>
      </c>
      <c r="J62" s="203">
        <f t="shared" ca="1" si="56"/>
        <v>0</v>
      </c>
      <c r="K62" s="224">
        <f t="shared" ca="1" si="57"/>
        <v>0</v>
      </c>
      <c r="L62" s="210">
        <f t="shared" ca="1" si="58"/>
        <v>1</v>
      </c>
      <c r="M62" s="114">
        <f t="shared" si="59"/>
        <v>1</v>
      </c>
      <c r="Q62" s="137"/>
    </row>
    <row r="63" spans="1:19" x14ac:dyDescent="0.25">
      <c r="A63" s="157" t="s">
        <v>2942</v>
      </c>
      <c r="B63" s="184">
        <v>0.03</v>
      </c>
      <c r="C63" s="184">
        <f t="shared" si="53"/>
        <v>0</v>
      </c>
      <c r="D63" s="186"/>
      <c r="E63" s="187">
        <f ca="1">IFERROR(VLOOKUP(D63,Preços!B:C,2,0),0)</f>
        <v>0</v>
      </c>
      <c r="F63" s="202">
        <f>IFERROR(VLOOKUP(D63,Portfolio!C:D,2,0),0)</f>
        <v>0</v>
      </c>
      <c r="G63" s="187">
        <f>IFERROR(VLOOKUP(D63,Portfolio!C:I,7,0),0)</f>
        <v>0</v>
      </c>
      <c r="H63" s="187">
        <f t="shared" si="54"/>
        <v>3</v>
      </c>
      <c r="I63" s="189">
        <f t="shared" ca="1" si="55"/>
        <v>0</v>
      </c>
      <c r="J63" s="203">
        <f t="shared" ca="1" si="56"/>
        <v>0</v>
      </c>
      <c r="K63" s="224">
        <f t="shared" ca="1" si="57"/>
        <v>0</v>
      </c>
      <c r="L63" s="210">
        <f t="shared" ca="1" si="58"/>
        <v>1</v>
      </c>
      <c r="M63" s="114">
        <f t="shared" si="59"/>
        <v>1</v>
      </c>
      <c r="Q63" s="137"/>
    </row>
    <row r="64" spans="1:19" ht="15.75" thickBot="1" x14ac:dyDescent="0.3">
      <c r="A64" s="159" t="s">
        <v>2942</v>
      </c>
      <c r="B64" s="190">
        <v>0.03</v>
      </c>
      <c r="C64" s="190">
        <f t="shared" si="53"/>
        <v>0</v>
      </c>
      <c r="D64" s="160"/>
      <c r="E64" s="161">
        <f ca="1">IFERROR(VLOOKUP(D64,Preços!B:C,2,0),0)</f>
        <v>0</v>
      </c>
      <c r="F64" s="204">
        <f>IFERROR(VLOOKUP(D64,Portfolio!C:D,2,0),0)</f>
        <v>0</v>
      </c>
      <c r="G64" s="161">
        <f>IFERROR(VLOOKUP(D64,Portfolio!C:I,7,0),0)</f>
        <v>0</v>
      </c>
      <c r="H64" s="161">
        <f t="shared" si="54"/>
        <v>3</v>
      </c>
      <c r="I64" s="191">
        <f t="shared" ca="1" si="55"/>
        <v>0</v>
      </c>
      <c r="J64" s="205">
        <f t="shared" ca="1" si="56"/>
        <v>0</v>
      </c>
      <c r="K64" s="225">
        <f t="shared" ca="1" si="57"/>
        <v>0</v>
      </c>
      <c r="L64" s="211">
        <f t="shared" ca="1" si="58"/>
        <v>1</v>
      </c>
      <c r="M64" s="114">
        <f t="shared" si="59"/>
        <v>1</v>
      </c>
      <c r="Q64" s="137"/>
    </row>
    <row r="65" spans="1:17" x14ac:dyDescent="0.25">
      <c r="A65" s="157" t="s">
        <v>2942</v>
      </c>
      <c r="B65" s="184">
        <v>0</v>
      </c>
      <c r="C65" s="184">
        <f t="shared" si="53"/>
        <v>0</v>
      </c>
      <c r="D65" s="186"/>
      <c r="E65" s="187">
        <f ca="1">IFERROR(VLOOKUP(D65,Preços!B:C,2,0),0)</f>
        <v>0</v>
      </c>
      <c r="F65" s="202">
        <f>IFERROR(VLOOKUP(D65,Portfolio!C:D,2,0),0)</f>
        <v>0</v>
      </c>
      <c r="G65" s="187">
        <f>IFERROR(VLOOKUP(D65,Portfolio!C:I,7,0),0)</f>
        <v>0</v>
      </c>
      <c r="H65" s="187">
        <f t="shared" si="54"/>
        <v>0</v>
      </c>
      <c r="I65" s="189">
        <f t="shared" ca="1" si="55"/>
        <v>0</v>
      </c>
      <c r="J65" s="203">
        <f t="shared" ca="1" si="56"/>
        <v>0</v>
      </c>
      <c r="K65" s="224">
        <f t="shared" ca="1" si="57"/>
        <v>0</v>
      </c>
      <c r="L65" s="210">
        <f t="shared" ca="1" si="58"/>
        <v>0</v>
      </c>
      <c r="M65" s="114">
        <f t="shared" si="59"/>
        <v>0</v>
      </c>
      <c r="Q65" s="137"/>
    </row>
    <row r="66" spans="1:17" x14ac:dyDescent="0.25">
      <c r="A66" s="157" t="s">
        <v>2942</v>
      </c>
      <c r="B66" s="184">
        <v>0</v>
      </c>
      <c r="C66" s="184">
        <f t="shared" si="53"/>
        <v>0</v>
      </c>
      <c r="D66" s="186"/>
      <c r="E66" s="187">
        <f ca="1">IFERROR(VLOOKUP(D66,Preços!B:C,2,0),0)</f>
        <v>0</v>
      </c>
      <c r="F66" s="202">
        <f>IFERROR(VLOOKUP(D66,Portfolio!C:D,2,0),0)</f>
        <v>0</v>
      </c>
      <c r="G66" s="187">
        <f>IFERROR(VLOOKUP(D66,Portfolio!C:I,7,0),0)</f>
        <v>0</v>
      </c>
      <c r="H66" s="187">
        <f t="shared" si="54"/>
        <v>0</v>
      </c>
      <c r="I66" s="189">
        <f t="shared" ca="1" si="55"/>
        <v>0</v>
      </c>
      <c r="J66" s="203">
        <f t="shared" ca="1" si="56"/>
        <v>0</v>
      </c>
      <c r="K66" s="224">
        <f t="shared" ca="1" si="57"/>
        <v>0</v>
      </c>
      <c r="L66" s="210">
        <f t="shared" ca="1" si="58"/>
        <v>0</v>
      </c>
      <c r="M66" s="114">
        <f t="shared" si="59"/>
        <v>0</v>
      </c>
      <c r="Q66" s="137"/>
    </row>
    <row r="67" spans="1:17" x14ac:dyDescent="0.25">
      <c r="A67" s="157" t="s">
        <v>2942</v>
      </c>
      <c r="B67" s="184">
        <v>0</v>
      </c>
      <c r="C67" s="184">
        <f t="shared" si="53"/>
        <v>0</v>
      </c>
      <c r="D67" s="186"/>
      <c r="E67" s="187">
        <f ca="1">IFERROR(VLOOKUP(D67,Preços!B:C,2,0),0)</f>
        <v>0</v>
      </c>
      <c r="F67" s="202">
        <f>IFERROR(VLOOKUP(D67,Portfolio!C:D,2,0),0)</f>
        <v>0</v>
      </c>
      <c r="G67" s="187">
        <f>IFERROR(VLOOKUP(D67,Portfolio!C:I,7,0),0)</f>
        <v>0</v>
      </c>
      <c r="H67" s="187">
        <f t="shared" si="54"/>
        <v>0</v>
      </c>
      <c r="I67" s="189">
        <f t="shared" ca="1" si="55"/>
        <v>0</v>
      </c>
      <c r="J67" s="203">
        <f t="shared" ca="1" si="56"/>
        <v>0</v>
      </c>
      <c r="K67" s="224">
        <f t="shared" ca="1" si="57"/>
        <v>0</v>
      </c>
      <c r="L67" s="210">
        <f t="shared" ca="1" si="58"/>
        <v>0</v>
      </c>
      <c r="M67" s="114">
        <f t="shared" si="59"/>
        <v>0</v>
      </c>
      <c r="Q67" s="137"/>
    </row>
    <row r="68" spans="1:17" ht="15.75" thickBot="1" x14ac:dyDescent="0.3">
      <c r="A68" s="159" t="s">
        <v>2942</v>
      </c>
      <c r="B68" s="190">
        <v>0</v>
      </c>
      <c r="C68" s="190">
        <f t="shared" si="53"/>
        <v>0</v>
      </c>
      <c r="D68" s="160"/>
      <c r="E68" s="161">
        <f ca="1">IFERROR(VLOOKUP(D68,Preços!B:C,2,0),0)</f>
        <v>0</v>
      </c>
      <c r="F68" s="204">
        <f>IFERROR(VLOOKUP(D68,Portfolio!C:D,2,0),0)</f>
        <v>0</v>
      </c>
      <c r="G68" s="161">
        <f>IFERROR(VLOOKUP(D68,Portfolio!C:I,7,0),0)</f>
        <v>0</v>
      </c>
      <c r="H68" s="161">
        <f t="shared" si="54"/>
        <v>0</v>
      </c>
      <c r="I68" s="191">
        <f t="shared" ca="1" si="55"/>
        <v>0</v>
      </c>
      <c r="J68" s="205">
        <f t="shared" ca="1" si="56"/>
        <v>0</v>
      </c>
      <c r="K68" s="225">
        <f t="shared" ca="1" si="57"/>
        <v>0</v>
      </c>
      <c r="L68" s="211">
        <f t="shared" ca="1" si="58"/>
        <v>0</v>
      </c>
      <c r="M68" s="114">
        <f t="shared" si="59"/>
        <v>0</v>
      </c>
    </row>
  </sheetData>
  <sortState xmlns:xlrd2="http://schemas.microsoft.com/office/spreadsheetml/2017/richdata2" ref="A13:K18">
    <sortCondition descending="1" ref="B13:B18"/>
    <sortCondition descending="1" ref="C13:C18"/>
  </sortState>
  <dataConsolidate/>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4082D-2F7A-4722-A8DE-E01EF79699E9}">
  <sheetPr codeName="Sheet3">
    <tabColor theme="3"/>
  </sheetPr>
  <dimension ref="A1:H239"/>
  <sheetViews>
    <sheetView showGridLines="0" topLeftCell="A25" workbookViewId="0">
      <selection activeCell="B57" sqref="B57"/>
    </sheetView>
  </sheetViews>
  <sheetFormatPr defaultRowHeight="15" customHeight="1" x14ac:dyDescent="0.25"/>
  <cols>
    <col min="1" max="1" width="73.42578125" bestFit="1" customWidth="1"/>
    <col min="2" max="2" width="19" bestFit="1" customWidth="1"/>
    <col min="3" max="3" width="13.28515625" style="23" customWidth="1"/>
    <col min="4" max="4" width="10.28515625" style="25" customWidth="1"/>
    <col min="5" max="5" width="16.7109375" style="23" bestFit="1" customWidth="1"/>
    <col min="6" max="6" width="9.5703125" style="25" bestFit="1" customWidth="1"/>
    <col min="7" max="7" width="19.85546875" style="23" bestFit="1" customWidth="1"/>
    <col min="9" max="9" width="9.5703125" bestFit="1" customWidth="1"/>
  </cols>
  <sheetData>
    <row r="1" spans="1:7" ht="15" customHeight="1" x14ac:dyDescent="0.25">
      <c r="B1" s="22"/>
      <c r="C1" s="24"/>
      <c r="E1" s="45" t="s">
        <v>8</v>
      </c>
      <c r="G1" s="45" t="s">
        <v>9</v>
      </c>
    </row>
    <row r="2" spans="1:7" ht="15" customHeight="1" x14ac:dyDescent="0.25">
      <c r="A2" t="s">
        <v>6</v>
      </c>
      <c r="B2" s="22" t="s">
        <v>3</v>
      </c>
      <c r="C2" s="26" t="s">
        <v>1</v>
      </c>
      <c r="E2" s="27" t="s">
        <v>1</v>
      </c>
      <c r="G2" s="27" t="s">
        <v>7</v>
      </c>
    </row>
    <row r="3" spans="1:7" ht="15" customHeight="1" x14ac:dyDescent="0.25">
      <c r="A3" s="28" t="e" vm="1">
        <v>#VALUE!</v>
      </c>
      <c r="B3" s="28" t="str" cm="1">
        <f t="array" aca="1" ref="B3" ca="1">_FV(A3,"Ticker symbol",TRUE)</f>
        <v>USDBRL</v>
      </c>
      <c r="C3" s="26">
        <f t="shared" ref="C3:C7" ca="1" si="0">IF(LEN(B3)&gt;1,IF(ISNUMBER(E3),E3,G3),"")</f>
        <v>6.1798000000000002</v>
      </c>
      <c r="E3" s="27">
        <f t="shared" ref="E3:E7" ca="1" si="1">IF(LEN(B3)&gt;1,_FV(A3,"Price"),"")</f>
        <v>6.1798000000000002</v>
      </c>
      <c r="G3" s="27"/>
    </row>
    <row r="4" spans="1:7" ht="15" customHeight="1" x14ac:dyDescent="0.25">
      <c r="A4" s="28"/>
      <c r="B4" s="28"/>
      <c r="C4" s="26" t="str">
        <f t="shared" si="0"/>
        <v/>
      </c>
      <c r="E4" s="27" t="str">
        <f t="shared" si="1"/>
        <v/>
      </c>
      <c r="G4" s="27"/>
    </row>
    <row r="5" spans="1:7" ht="15" customHeight="1" x14ac:dyDescent="0.25">
      <c r="A5" s="28"/>
      <c r="B5" s="28"/>
      <c r="C5" s="26" t="str">
        <f t="shared" si="0"/>
        <v/>
      </c>
      <c r="E5" s="27" t="str">
        <f t="shared" si="1"/>
        <v/>
      </c>
      <c r="G5" s="27"/>
    </row>
    <row r="6" spans="1:7" ht="15" customHeight="1" x14ac:dyDescent="0.25">
      <c r="A6" s="28"/>
      <c r="B6" s="28"/>
      <c r="C6" s="26" t="str">
        <f t="shared" si="0"/>
        <v/>
      </c>
      <c r="E6" s="27" t="str">
        <f t="shared" si="1"/>
        <v/>
      </c>
      <c r="G6" s="27"/>
    </row>
    <row r="7" spans="1:7" ht="15" customHeight="1" x14ac:dyDescent="0.25">
      <c r="A7" s="28"/>
      <c r="B7" s="28"/>
      <c r="C7" s="26" t="str">
        <f t="shared" si="0"/>
        <v/>
      </c>
      <c r="E7" s="27" t="str">
        <f t="shared" si="1"/>
        <v/>
      </c>
      <c r="G7" s="27"/>
    </row>
    <row r="8" spans="1:7" ht="15" customHeight="1" x14ac:dyDescent="0.25">
      <c r="A8" s="87" t="s">
        <v>19</v>
      </c>
      <c r="B8" s="28"/>
      <c r="C8" s="26" t="str">
        <f t="shared" ref="C8" si="2">IF(LEN(B8)&gt;1,IF(ISNUMBER(E8),E8,G8),"")</f>
        <v/>
      </c>
      <c r="E8" s="27" t="str">
        <f t="shared" ref="E8" si="3">IF(LEN(B8)&gt;1,_FV(A8,"Price"),"")</f>
        <v/>
      </c>
      <c r="G8" s="27"/>
    </row>
    <row r="9" spans="1:7" ht="15" customHeight="1" x14ac:dyDescent="0.25">
      <c r="A9" s="29" t="e" vm="2">
        <v>#VALUE!</v>
      </c>
      <c r="B9" s="28" t="str" cm="1">
        <f t="array" aca="1" ref="B9" ca="1">_FV(A9,"Ticker symbol",TRUE)</f>
        <v>JNJ</v>
      </c>
      <c r="C9" s="26">
        <f t="shared" ref="C9:C11" ca="1" si="4">IF(LEN(B9)&gt;0,IF(ISNUMBER(E9),E9,G9),"")</f>
        <v>144.19</v>
      </c>
      <c r="E9" s="27" cm="1">
        <f t="array" aca="1" ref="E9" ca="1">IF(LEN(B9)&gt;0,_FV(A9,"Price"),"")</f>
        <v>144.19</v>
      </c>
      <c r="G9" s="27"/>
    </row>
    <row r="10" spans="1:7" ht="15" customHeight="1" x14ac:dyDescent="0.25">
      <c r="A10" s="29" t="e" vm="3">
        <v>#VALUE!</v>
      </c>
      <c r="B10" s="28" t="str" cm="1">
        <f t="array" aca="1" ref="B10" ca="1">_FV(A10,"Ticker symbol",TRUE)</f>
        <v>XOM</v>
      </c>
      <c r="C10" s="26">
        <f t="shared" ca="1" si="4"/>
        <v>107.88</v>
      </c>
      <c r="E10" s="27" cm="1">
        <f t="array" aca="1" ref="E10" ca="1">IF(LEN(B10)&gt;0,_FV(A10,"Price"),"")</f>
        <v>107.88</v>
      </c>
      <c r="G10" s="27"/>
    </row>
    <row r="11" spans="1:7" ht="15" customHeight="1" x14ac:dyDescent="0.25">
      <c r="A11" s="29" t="e" vm="4">
        <v>#VALUE!</v>
      </c>
      <c r="B11" s="28" t="str" cm="1">
        <f t="array" aca="1" ref="B11" ca="1">_FV(A11,"Ticker symbol",TRUE)</f>
        <v>PG</v>
      </c>
      <c r="C11" s="26">
        <f t="shared" ca="1" si="4"/>
        <v>165.13</v>
      </c>
      <c r="E11" s="27" cm="1">
        <f t="array" aca="1" ref="E11" ca="1">IF(LEN(B11)&gt;0,_FV(A11,"Price"),"")</f>
        <v>165.13</v>
      </c>
      <c r="G11" s="27"/>
    </row>
    <row r="12" spans="1:7" ht="15" customHeight="1" x14ac:dyDescent="0.25">
      <c r="A12" s="29" t="e" vm="5">
        <v>#VALUE!</v>
      </c>
      <c r="B12" s="28" t="str" cm="1">
        <f t="array" aca="1" ref="B12" ca="1">_FV(A12,"Ticker symbol",TRUE)</f>
        <v>O</v>
      </c>
      <c r="C12" s="26">
        <f ca="1">IF(LEN(B12)&gt;0,IF(ISNUMBER(E12),E12,G12),"")</f>
        <v>53.28</v>
      </c>
      <c r="E12" s="27" cm="1">
        <f t="array" aca="1" ref="E12" ca="1">IF(LEN(B12)&gt;0,_FV(A12,"Price"),"")</f>
        <v>53.28</v>
      </c>
      <c r="G12" s="27"/>
    </row>
    <row r="13" spans="1:7" ht="15" customHeight="1" x14ac:dyDescent="0.25">
      <c r="A13" s="29" t="e" vm="6">
        <v>#VALUE!</v>
      </c>
      <c r="B13" s="28" t="str" cm="1">
        <f t="array" aca="1" ref="B13" ca="1">_FV(A13,"Ticker symbol",TRUE)</f>
        <v>PEP</v>
      </c>
      <c r="C13" s="26">
        <f t="shared" ref="C13:C19" ca="1" si="5">IF(LEN(B13)&gt;0,IF(ISNUMBER(E13),E13,G13),"")</f>
        <v>149.65</v>
      </c>
      <c r="E13" s="27" cm="1">
        <f t="array" aca="1" ref="E13" ca="1">IF(LEN(B13)&gt;0,_FV(A13,"Price"),"")</f>
        <v>149.65</v>
      </c>
      <c r="G13" s="27"/>
    </row>
    <row r="14" spans="1:7" ht="15" customHeight="1" x14ac:dyDescent="0.25">
      <c r="A14" s="29" t="e" vm="7">
        <v>#VALUE!</v>
      </c>
      <c r="B14" s="28" t="str" cm="1">
        <f t="array" aca="1" ref="B14" ca="1">_FV(A14,"Ticker symbol",TRUE)</f>
        <v>VZ</v>
      </c>
      <c r="C14" s="26">
        <f t="shared" ca="1" si="5"/>
        <v>40.26</v>
      </c>
      <c r="E14" s="27" cm="1">
        <f t="array" aca="1" ref="E14" ca="1">IF(LEN(B14)&gt;0,_FV(A14,"Price"),"")</f>
        <v>40.26</v>
      </c>
      <c r="G14" s="27"/>
    </row>
    <row r="15" spans="1:7" ht="15" customHeight="1" x14ac:dyDescent="0.25">
      <c r="A15" s="29" t="e" vm="8">
        <v>#VALUE!</v>
      </c>
      <c r="B15" s="28" t="str" cm="1">
        <f t="array" aca="1" ref="B15" ca="1">_FV(A15,"Ticker symbol",TRUE)</f>
        <v>MSFT</v>
      </c>
      <c r="C15" s="26">
        <f t="shared" ca="1" si="5"/>
        <v>423.35</v>
      </c>
      <c r="E15" s="27" cm="1">
        <f t="array" aca="1" ref="E15" ca="1">IF(LEN(B15)&gt;0,_FV(A15,"Price"),"")</f>
        <v>423.35</v>
      </c>
      <c r="G15" s="27"/>
    </row>
    <row r="16" spans="1:7" ht="15" customHeight="1" x14ac:dyDescent="0.25">
      <c r="A16" s="29" t="e" vm="9">
        <v>#VALUE!</v>
      </c>
      <c r="B16" s="28" t="str" cm="1">
        <f t="array" aca="1" ref="B16" ca="1">_FV(A16,"Ticker symbol",TRUE)</f>
        <v>JPM</v>
      </c>
      <c r="C16" s="26">
        <f t="shared" ca="1" si="5"/>
        <v>243.28</v>
      </c>
      <c r="E16" s="27" cm="1">
        <f t="array" aca="1" ref="E16" ca="1">IF(LEN(B16)&gt;0,_FV(A16,"Price"),"")</f>
        <v>243.28</v>
      </c>
      <c r="G16" s="27"/>
    </row>
    <row r="17" spans="1:7" ht="15" customHeight="1" x14ac:dyDescent="0.25">
      <c r="A17" s="29" t="e" vm="10">
        <v>#VALUE!</v>
      </c>
      <c r="B17" s="28" t="str" cm="1">
        <f t="array" aca="1" ref="B17" ca="1">_FV(A17,"Ticker symbol",TRUE)</f>
        <v>SCHD</v>
      </c>
      <c r="C17" s="26">
        <f t="shared" ca="1" si="5"/>
        <v>27.44</v>
      </c>
      <c r="E17" s="27" cm="1">
        <f t="array" aca="1" ref="E17" ca="1">IF(LEN(B17)&gt;0,_FV(A17,"Price"),"")</f>
        <v>27.44</v>
      </c>
      <c r="G17" s="27"/>
    </row>
    <row r="18" spans="1:7" ht="15" customHeight="1" x14ac:dyDescent="0.25">
      <c r="A18" s="29" t="e" vm="11">
        <v>#VALUE!</v>
      </c>
      <c r="B18" s="28" t="str" cm="1">
        <f t="array" aca="1" ref="B18" ca="1">_FV(A18,"Ticker symbol",TRUE)</f>
        <v>VYM</v>
      </c>
      <c r="C18" s="26">
        <f t="shared" ca="1" si="5"/>
        <v>128.41999999999999</v>
      </c>
      <c r="E18" s="27" cm="1">
        <f t="array" aca="1" ref="E18" ca="1">IF(LEN(B18)&gt;0,_FV(A18,"Price"),"")</f>
        <v>128.41999999999999</v>
      </c>
      <c r="G18" s="27"/>
    </row>
    <row r="19" spans="1:7" ht="15" customHeight="1" x14ac:dyDescent="0.25">
      <c r="A19" s="29"/>
      <c r="B19" s="28"/>
      <c r="C19" s="26" t="str">
        <f t="shared" si="5"/>
        <v/>
      </c>
      <c r="E19" s="27" t="str" cm="1">
        <f t="array" ref="E19">IF(LEN(B19)&gt;0,_FV(A19,"Price"),"")</f>
        <v/>
      </c>
      <c r="G19" s="27"/>
    </row>
    <row r="20" spans="1:7" ht="15" customHeight="1" x14ac:dyDescent="0.25">
      <c r="A20" s="29"/>
      <c r="B20" s="28"/>
      <c r="C20" s="26"/>
      <c r="E20" s="27"/>
      <c r="G20" s="27"/>
    </row>
    <row r="21" spans="1:7" ht="15" customHeight="1" x14ac:dyDescent="0.25">
      <c r="A21" s="29"/>
      <c r="B21" s="28"/>
      <c r="C21" s="26"/>
      <c r="E21" s="27"/>
      <c r="G21" s="27"/>
    </row>
    <row r="22" spans="1:7" ht="15" customHeight="1" x14ac:dyDescent="0.25">
      <c r="A22" s="29"/>
      <c r="B22" s="28"/>
      <c r="C22" s="26"/>
      <c r="E22" s="27"/>
      <c r="G22" s="27"/>
    </row>
    <row r="23" spans="1:7" ht="15" customHeight="1" x14ac:dyDescent="0.25">
      <c r="A23" s="166"/>
      <c r="B23" s="28"/>
      <c r="C23" s="26"/>
      <c r="E23" s="27"/>
      <c r="G23" s="167"/>
    </row>
    <row r="24" spans="1:7" ht="15" customHeight="1" x14ac:dyDescent="0.25">
      <c r="A24" s="171"/>
      <c r="B24" s="28"/>
      <c r="C24" s="26"/>
      <c r="E24" s="27"/>
      <c r="G24" s="167"/>
    </row>
    <row r="25" spans="1:7" ht="15" customHeight="1" x14ac:dyDescent="0.25">
      <c r="A25" s="171"/>
      <c r="B25" s="28"/>
      <c r="C25" s="26"/>
      <c r="E25" s="27"/>
      <c r="G25" s="173"/>
    </row>
    <row r="26" spans="1:7" ht="15" customHeight="1" x14ac:dyDescent="0.25">
      <c r="A26" s="166"/>
      <c r="B26" s="28"/>
      <c r="C26" s="26"/>
      <c r="E26" s="27"/>
      <c r="G26" s="173"/>
    </row>
    <row r="27" spans="1:7" ht="15" customHeight="1" x14ac:dyDescent="0.25">
      <c r="A27" s="28"/>
      <c r="B27" s="28"/>
      <c r="C27" s="26"/>
      <c r="E27" s="27"/>
      <c r="G27" s="167"/>
    </row>
    <row r="28" spans="1:7" ht="15" customHeight="1" x14ac:dyDescent="0.25">
      <c r="A28" s="166"/>
      <c r="B28" s="28"/>
      <c r="C28" s="26"/>
      <c r="E28" s="27"/>
      <c r="G28" s="27"/>
    </row>
    <row r="29" spans="1:7" ht="15" customHeight="1" x14ac:dyDescent="0.25">
      <c r="A29" s="166"/>
      <c r="B29" s="28"/>
      <c r="C29" s="26"/>
      <c r="E29" s="27"/>
      <c r="G29" s="167"/>
    </row>
    <row r="30" spans="1:7" ht="15" customHeight="1" x14ac:dyDescent="0.25">
      <c r="A30" s="171"/>
      <c r="B30" s="28"/>
      <c r="C30" s="26"/>
      <c r="E30" s="27"/>
      <c r="G30" s="167"/>
    </row>
    <row r="31" spans="1:7" ht="15" customHeight="1" x14ac:dyDescent="0.25">
      <c r="A31" s="171"/>
      <c r="B31" s="28"/>
      <c r="C31" s="26"/>
      <c r="E31" s="27"/>
      <c r="G31" s="173"/>
    </row>
    <row r="32" spans="1:7" ht="15" customHeight="1" x14ac:dyDescent="0.25">
      <c r="A32" s="171"/>
      <c r="B32" s="28"/>
      <c r="C32" s="26"/>
      <c r="E32" s="27"/>
      <c r="G32" s="173"/>
    </row>
    <row r="33" spans="1:7" ht="15" customHeight="1" x14ac:dyDescent="0.25">
      <c r="A33" s="166"/>
      <c r="B33" s="28"/>
      <c r="C33" s="26"/>
      <c r="E33" s="27"/>
      <c r="G33" s="167"/>
    </row>
    <row r="34" spans="1:7" ht="15" customHeight="1" x14ac:dyDescent="0.25">
      <c r="A34" s="28"/>
      <c r="B34" s="28"/>
      <c r="C34" s="26" t="str">
        <f t="shared" ref="C34:C36" si="6">IF(LEN(B34)&gt;1,IF(ISNUMBER(E34),E34,G34),"")</f>
        <v/>
      </c>
      <c r="E34" s="27" t="str">
        <f t="shared" ref="E34:E36" si="7">IF(LEN(B34)&gt;1,_FV(A34,"Price"),"")</f>
        <v/>
      </c>
      <c r="G34" s="27"/>
    </row>
    <row r="35" spans="1:7" ht="15" customHeight="1" x14ac:dyDescent="0.25">
      <c r="A35" s="166"/>
      <c r="B35" s="28"/>
      <c r="C35" s="26" t="str">
        <f t="shared" si="6"/>
        <v/>
      </c>
      <c r="E35" s="27" t="str">
        <f t="shared" si="7"/>
        <v/>
      </c>
      <c r="G35" s="167"/>
    </row>
    <row r="36" spans="1:7" ht="15" customHeight="1" x14ac:dyDescent="0.25">
      <c r="A36" s="28"/>
      <c r="B36" s="28"/>
      <c r="C36" s="26" t="str">
        <f t="shared" si="6"/>
        <v/>
      </c>
      <c r="E36" s="27" t="str">
        <f t="shared" si="7"/>
        <v/>
      </c>
      <c r="G36" s="27"/>
    </row>
    <row r="37" spans="1:7" ht="15" customHeight="1" x14ac:dyDescent="0.25">
      <c r="A37" s="87" t="s">
        <v>31</v>
      </c>
      <c r="B37" s="28"/>
      <c r="C37" s="26" t="str">
        <f t="shared" ref="C37" si="8">IF(LEN(B37)&gt;1,IF(ISNUMBER(E37),E37,G37),"")</f>
        <v/>
      </c>
      <c r="E37" s="27" t="str">
        <f t="shared" ref="E37" si="9">IF(LEN(B37)&gt;1,_FV(A37,"Price"),"")</f>
        <v/>
      </c>
      <c r="G37" s="27"/>
    </row>
    <row r="38" spans="1:7" ht="15" customHeight="1" x14ac:dyDescent="0.25">
      <c r="A38" s="29" t="e" vm="12">
        <v>#VALUE!</v>
      </c>
      <c r="B38" s="28" t="str" cm="1">
        <f t="array" aca="1" ref="B38" ca="1">_FV(A38,"Ticker symbol",TRUE)</f>
        <v>BBAS3</v>
      </c>
      <c r="C38" s="26">
        <f t="shared" ref="C38:C112" ca="1" si="10">IF(LEN(B38)&gt;1,IF(ISNUMBER(E38),E38,G38),"")</f>
        <v>23.74</v>
      </c>
      <c r="E38" s="27">
        <f t="shared" ref="E38:E64" ca="1" si="11">IF(LEN(B38)&gt;1,_FV(A38,"Price"),"")</f>
        <v>23.74</v>
      </c>
      <c r="G38" s="27"/>
    </row>
    <row r="39" spans="1:7" ht="15" customHeight="1" x14ac:dyDescent="0.25">
      <c r="A39" s="28" t="e" vm="13">
        <v>#VALUE!</v>
      </c>
      <c r="B39" s="28" t="str" cm="1">
        <f t="array" aca="1" ref="B39" ca="1">_FV(A39,"Ticker symbol",TRUE)</f>
        <v>CXSE3</v>
      </c>
      <c r="C39" s="26">
        <f ca="1">IF(LEN(B39)&gt;1,IF(ISNUMBER(E39),E39,G39),"")</f>
        <v>14.31</v>
      </c>
      <c r="E39" s="27">
        <f ca="1">IF(LEN(B39)&gt;1,_FV(A39,"Price"),"")</f>
        <v>14.31</v>
      </c>
      <c r="G39" s="27"/>
    </row>
    <row r="40" spans="1:7" ht="15" customHeight="1" x14ac:dyDescent="0.25">
      <c r="A40" s="28" t="e" vm="14">
        <v>#VALUE!</v>
      </c>
      <c r="B40" s="28" t="str" cm="1">
        <f t="array" aca="1" ref="B40" ca="1">_FV(A40,"Ticker symbol",TRUE)</f>
        <v>CPLE6</v>
      </c>
      <c r="C40" s="26">
        <f ca="1">IF(LEN(B40)&gt;1,IF(ISNUMBER(E40),E40,G40),"")</f>
        <v>8.99</v>
      </c>
      <c r="E40" s="27">
        <f ca="1">IF(LEN(B40)&gt;1,_FV(A40,"Price"),"")</f>
        <v>8.99</v>
      </c>
      <c r="G40" s="27"/>
    </row>
    <row r="41" spans="1:7" ht="15" customHeight="1" x14ac:dyDescent="0.25">
      <c r="A41" s="28" t="e" vm="15">
        <v>#VALUE!</v>
      </c>
      <c r="B41" s="28" t="str" cm="1">
        <f t="array" aca="1" ref="B41" ca="1">_FV(A41,"Ticker symbol",TRUE)</f>
        <v>TAEE11</v>
      </c>
      <c r="C41" s="26">
        <f ca="1">IF(LEN(B41)&gt;1,IF(ISNUMBER(E41),E41,G41),"")</f>
        <v>32.21</v>
      </c>
      <c r="E41" s="27">
        <f ca="1">IF(LEN(B41)&gt;1,_FV(A41,"Price"),"")</f>
        <v>32.21</v>
      </c>
      <c r="G41" s="27"/>
    </row>
    <row r="42" spans="1:7" ht="15" customHeight="1" x14ac:dyDescent="0.25">
      <c r="A42" s="28" t="e" vm="16">
        <v>#VALUE!</v>
      </c>
      <c r="B42" s="28" t="str" cm="1">
        <f t="array" aca="1" ref="B42" ca="1">_FV(A42,"Ticker symbol",TRUE)</f>
        <v>ISAE4</v>
      </c>
      <c r="C42" s="26">
        <f ca="1">IF(LEN(B42)&gt;1,IF(ISNUMBER(E42),E42,G42),"")</f>
        <v>22.55</v>
      </c>
      <c r="E42" s="27">
        <f ca="1">IF(LEN(B42)&gt;1,_FV(A42,"Price"),"")</f>
        <v>22.55</v>
      </c>
      <c r="G42" s="27"/>
    </row>
    <row r="43" spans="1:7" ht="15" customHeight="1" x14ac:dyDescent="0.25">
      <c r="A43" s="28" t="e" vm="17">
        <v>#VALUE!</v>
      </c>
      <c r="B43" s="28" t="str" cm="1">
        <f t="array" aca="1" ref="B43" ca="1">_FV(A43,"Ticker symbol",TRUE)</f>
        <v>NDIV11</v>
      </c>
      <c r="C43" s="26">
        <f t="shared" ref="C43" ca="1" si="12">IF(LEN(B43)&gt;1,IF(ISNUMBER(E43),E43,G43),"")</f>
        <v>98.95</v>
      </c>
      <c r="E43" s="27">
        <f t="shared" ref="E43" ca="1" si="13">IF(LEN(B43)&gt;1,_FV(A43,"Price"),"")</f>
        <v>98.95</v>
      </c>
      <c r="G43" s="27"/>
    </row>
    <row r="44" spans="1:7" ht="15" customHeight="1" x14ac:dyDescent="0.25">
      <c r="A44" s="28" t="e" vm="18">
        <v>#VALUE!</v>
      </c>
      <c r="B44" s="28" t="str" cm="1">
        <f t="array" aca="1" ref="B44" ca="1">_FV(A44,"Ticker symbol",TRUE)</f>
        <v>CMIG4</v>
      </c>
      <c r="C44" s="26">
        <f t="shared" ref="C44" ca="1" si="14">IF(LEN(B44)&gt;1,IF(ISNUMBER(E44),E44,G44),"")</f>
        <v>10.84</v>
      </c>
      <c r="E44" s="27">
        <f t="shared" ref="E44" ca="1" si="15">IF(LEN(B44)&gt;1,_FV(A44,"Price"),"")</f>
        <v>10.84</v>
      </c>
      <c r="G44" s="27"/>
    </row>
    <row r="45" spans="1:7" ht="15" customHeight="1" x14ac:dyDescent="0.25">
      <c r="A45" s="28" t="e" vm="19">
        <v>#VALUE!</v>
      </c>
      <c r="B45" s="28" t="str" cm="1">
        <f t="array" aca="1" ref="B45" ca="1">_FV(A45,"Ticker symbol",TRUE)</f>
        <v>NSDV11</v>
      </c>
      <c r="C45" s="26">
        <f t="shared" ref="C45" ca="1" si="16">IF(LEN(B45)&gt;1,IF(ISNUMBER(E45),E45,G45),"")</f>
        <v>108.18</v>
      </c>
      <c r="E45" s="27">
        <f t="shared" ref="E45" ca="1" si="17">IF(LEN(B45)&gt;1,_FV(A45,"Price"),"")</f>
        <v>108.18</v>
      </c>
      <c r="G45" s="27"/>
    </row>
    <row r="46" spans="1:7" ht="15" customHeight="1" x14ac:dyDescent="0.25">
      <c r="A46" s="171"/>
      <c r="B46" s="171"/>
      <c r="C46" s="172"/>
      <c r="E46" s="173"/>
      <c r="G46" s="173"/>
    </row>
    <row r="47" spans="1:7" ht="15" customHeight="1" x14ac:dyDescent="0.25">
      <c r="A47" s="171"/>
      <c r="B47" s="171"/>
      <c r="C47" s="172"/>
      <c r="E47" s="173"/>
      <c r="G47" s="173"/>
    </row>
    <row r="48" spans="1:7" ht="15" customHeight="1" x14ac:dyDescent="0.25">
      <c r="A48" s="171"/>
      <c r="B48" s="171"/>
      <c r="C48" s="172"/>
      <c r="E48" s="173"/>
      <c r="G48" s="173"/>
    </row>
    <row r="49" spans="1:7" ht="15" customHeight="1" x14ac:dyDescent="0.25">
      <c r="A49" s="171"/>
      <c r="B49" s="171"/>
      <c r="C49" s="172"/>
      <c r="E49" s="173"/>
      <c r="G49" s="173"/>
    </row>
    <row r="50" spans="1:7" ht="15" customHeight="1" x14ac:dyDescent="0.25">
      <c r="A50" s="28"/>
      <c r="B50" s="28"/>
      <c r="C50" s="26" t="str">
        <f t="shared" ref="C50:C51" si="18">IF(LEN(B50)&gt;1,IF(ISNUMBER(E50),E50,G50),"")</f>
        <v/>
      </c>
      <c r="E50" s="27" t="str">
        <f t="shared" ref="E50:E51" si="19">IF(LEN(B50)&gt;1,_FV(A50,"Price"),"")</f>
        <v/>
      </c>
      <c r="G50" s="27"/>
    </row>
    <row r="51" spans="1:7" ht="15" customHeight="1" x14ac:dyDescent="0.25">
      <c r="A51" s="87" t="s">
        <v>18</v>
      </c>
      <c r="B51" s="28"/>
      <c r="C51" s="26" t="str">
        <f t="shared" si="18"/>
        <v/>
      </c>
      <c r="E51" s="27" t="str">
        <f t="shared" si="19"/>
        <v/>
      </c>
      <c r="G51" s="27"/>
    </row>
    <row r="52" spans="1:7" ht="15" customHeight="1" x14ac:dyDescent="0.25">
      <c r="A52" s="28" t="e" vm="20">
        <v>#VALUE!</v>
      </c>
      <c r="B52" s="28" t="str" cm="1">
        <f t="array" aca="1" ref="B52" ca="1">_FV(A52,"Símbolo do ticker",TRUE)</f>
        <v>MXRF11</v>
      </c>
      <c r="C52" s="26">
        <f t="shared" ca="1" si="10"/>
        <v>9.31</v>
      </c>
      <c r="E52" s="27" cm="1">
        <f t="array" aca="1" ref="E52" ca="1">IF(LEN(B52)&gt;1,_FV(A52,"Preço"),"")</f>
        <v>9.31</v>
      </c>
      <c r="G52" s="27"/>
    </row>
    <row r="53" spans="1:7" ht="15" customHeight="1" x14ac:dyDescent="0.25">
      <c r="A53" s="29" t="e" vm="21">
        <v>#VALUE!</v>
      </c>
      <c r="B53" s="28" t="str" cm="1">
        <f t="array" aca="1" ref="B53" ca="1">_FV(A53,"Símbolo do ticker",TRUE)</f>
        <v>HGLG11</v>
      </c>
      <c r="C53" s="26">
        <f t="shared" ca="1" si="10"/>
        <v>154</v>
      </c>
      <c r="E53" s="27" cm="1">
        <f t="array" aca="1" ref="E53" ca="1">IF(LEN(B53)&gt;1,_FV(A53,"Preço"),"")</f>
        <v>154</v>
      </c>
      <c r="G53" s="27"/>
    </row>
    <row r="54" spans="1:7" ht="15" customHeight="1" x14ac:dyDescent="0.25">
      <c r="A54" s="28" t="e" vm="22">
        <v>#VALUE!</v>
      </c>
      <c r="B54" s="28" t="str" cm="1">
        <f t="array" aca="1" ref="B54" ca="1">_FV(A54,"Símbolo do ticker",TRUE)</f>
        <v>BRCO11</v>
      </c>
      <c r="C54" s="26">
        <f t="shared" ca="1" si="10"/>
        <v>99.5</v>
      </c>
      <c r="E54" s="27" cm="1">
        <f t="array" aca="1" ref="E54" ca="1">IF(LEN(B54)&gt;1,_FV(A54,"Preço"),"")</f>
        <v>99.5</v>
      </c>
      <c r="G54" s="27"/>
    </row>
    <row r="55" spans="1:7" ht="15" customHeight="1" x14ac:dyDescent="0.25">
      <c r="A55" s="29" t="e" vm="23">
        <v>#VALUE!</v>
      </c>
      <c r="B55" s="28" t="str" cm="1">
        <f t="array" aca="1" ref="B55" ca="1">_FV(A55,"Símbolo do ticker",TRUE)</f>
        <v>XPML11</v>
      </c>
      <c r="C55" s="26">
        <f t="shared" ca="1" si="10"/>
        <v>97.73</v>
      </c>
      <c r="E55" s="27" cm="1">
        <f t="array" aca="1" ref="E55" ca="1">IF(LEN(B55)&gt;1,_FV(A55,"Preço"),"")</f>
        <v>97.73</v>
      </c>
      <c r="G55" s="27"/>
    </row>
    <row r="56" spans="1:7" ht="15" customHeight="1" x14ac:dyDescent="0.25">
      <c r="A56" s="28" t="e" vm="24">
        <v>#VALUE!</v>
      </c>
      <c r="B56" s="28" t="str" cm="1">
        <f t="array" aca="1" ref="B56" ca="1">_FV(A56,"Símbolo do ticker",TRUE)</f>
        <v>MALL11</v>
      </c>
      <c r="C56" s="26">
        <f t="shared" ca="1" si="10"/>
        <v>96.1</v>
      </c>
      <c r="E56" s="27" cm="1">
        <f t="array" aca="1" ref="E56" ca="1">IF(LEN(B56)&gt;1,_FV(A56,"Preço"),"")</f>
        <v>96.1</v>
      </c>
      <c r="G56" s="27"/>
    </row>
    <row r="57" spans="1:7" ht="15" customHeight="1" x14ac:dyDescent="0.25">
      <c r="A57" s="28" t="e" vm="25">
        <v>#VALUE!</v>
      </c>
      <c r="B57" s="28" t="str" cm="1">
        <f t="array" aca="1" ref="B57" ca="1">_FV(A57,"Símbolo do ticker",TRUE)</f>
        <v>KNCR11</v>
      </c>
      <c r="C57" s="26">
        <f t="shared" ca="1" si="10"/>
        <v>103.87</v>
      </c>
      <c r="E57" s="27" cm="1">
        <f t="array" aca="1" ref="E57" ca="1">IF(LEN(B57)&gt;1,_FV(A57,"Preço"),"")</f>
        <v>103.87</v>
      </c>
      <c r="G57" s="27"/>
    </row>
    <row r="58" spans="1:7" ht="15" customHeight="1" x14ac:dyDescent="0.25">
      <c r="A58" s="28" t="e" vm="26">
        <v>#VALUE!</v>
      </c>
      <c r="B58" s="28" t="str" cm="1">
        <f t="array" aca="1" ref="B58" ca="1">_FV(A58,"Símbolo do ticker",TRUE)</f>
        <v>VRTA11</v>
      </c>
      <c r="C58" s="26">
        <f t="shared" ca="1" si="10"/>
        <v>78.8</v>
      </c>
      <c r="E58" s="27" cm="1">
        <f t="array" aca="1" ref="E58" ca="1">IF(LEN(B58)&gt;1,_FV(A58,"Preço"),"")</f>
        <v>78.8</v>
      </c>
      <c r="G58" s="27"/>
    </row>
    <row r="59" spans="1:7" ht="15" customHeight="1" x14ac:dyDescent="0.25">
      <c r="A59" s="171" t="e" vm="27">
        <v>#VALUE!</v>
      </c>
      <c r="B59" s="28" t="str" cm="1">
        <f t="array" aca="1" ref="B59" ca="1">_FV(A59,"Símbolo do ticker",TRUE)</f>
        <v>VISC11</v>
      </c>
      <c r="C59" s="26">
        <f t="shared" ref="C59:C60" ca="1" si="20">IF(LEN(B59)&gt;1,IF(ISNUMBER(E59),E59,G59),"")</f>
        <v>95</v>
      </c>
      <c r="E59" s="27" cm="1">
        <f t="array" aca="1" ref="E59" ca="1">IF(LEN(B59)&gt;1,_FV(A59,"Preço"),"")</f>
        <v>95</v>
      </c>
      <c r="G59" s="173"/>
    </row>
    <row r="60" spans="1:7" ht="15" customHeight="1" x14ac:dyDescent="0.25">
      <c r="A60" s="171" t="e" vm="28">
        <v>#VALUE!</v>
      </c>
      <c r="B60" s="28" t="str" cm="1">
        <f t="array" aca="1" ref="B60" ca="1">_FV(A60,"Símbolo do ticker",TRUE)</f>
        <v>HGRE11</v>
      </c>
      <c r="C60" s="26">
        <f t="shared" ca="1" si="20"/>
        <v>101.2</v>
      </c>
      <c r="E60" s="27" cm="1">
        <f t="array" aca="1" ref="E60" ca="1">IF(LEN(B60)&gt;1,_FV(A60,"Preço"),"")</f>
        <v>101.2</v>
      </c>
      <c r="G60" s="173"/>
    </row>
    <row r="61" spans="1:7" ht="15" customHeight="1" x14ac:dyDescent="0.25">
      <c r="A61" s="171"/>
      <c r="B61" s="171"/>
      <c r="C61" s="172"/>
      <c r="E61" s="173"/>
      <c r="G61" s="173"/>
    </row>
    <row r="62" spans="1:7" ht="15" customHeight="1" x14ac:dyDescent="0.25">
      <c r="A62" s="28"/>
      <c r="B62" s="28"/>
      <c r="C62" s="26" t="str">
        <f t="shared" si="10"/>
        <v/>
      </c>
      <c r="E62" s="27" t="str">
        <f t="shared" si="11"/>
        <v/>
      </c>
      <c r="G62" s="27"/>
    </row>
    <row r="63" spans="1:7" ht="15" customHeight="1" x14ac:dyDescent="0.25">
      <c r="A63" s="28"/>
      <c r="B63" s="28"/>
      <c r="C63" s="26" t="str">
        <f t="shared" si="10"/>
        <v/>
      </c>
      <c r="E63" s="27" t="str">
        <f t="shared" si="11"/>
        <v/>
      </c>
      <c r="G63" s="27"/>
    </row>
    <row r="64" spans="1:7" ht="15" customHeight="1" x14ac:dyDescent="0.25">
      <c r="A64" s="28"/>
      <c r="B64" s="28"/>
      <c r="C64" s="26" t="str">
        <f t="shared" si="10"/>
        <v/>
      </c>
      <c r="E64" s="27" t="str">
        <f t="shared" si="11"/>
        <v/>
      </c>
      <c r="G64" s="27"/>
    </row>
    <row r="65" spans="1:8" ht="15" customHeight="1" x14ac:dyDescent="0.25">
      <c r="A65" s="28"/>
      <c r="B65" s="28"/>
      <c r="C65" s="26" t="str">
        <f t="shared" ref="C65:C66" si="21">IF(LEN(B65)&gt;1,IF(ISNUMBER(E65),E65,G65),"")</f>
        <v/>
      </c>
      <c r="E65" s="27" t="str">
        <f t="shared" ref="E65:E66" si="22">IF(LEN(B65)&gt;1,_FV(A65,"Price"),"")</f>
        <v/>
      </c>
      <c r="G65" s="27"/>
    </row>
    <row r="66" spans="1:8" ht="15" customHeight="1" x14ac:dyDescent="0.25">
      <c r="A66" s="28"/>
      <c r="B66" s="28"/>
      <c r="C66" s="26" t="str">
        <f t="shared" si="21"/>
        <v/>
      </c>
      <c r="E66" s="27" t="str">
        <f t="shared" si="22"/>
        <v/>
      </c>
      <c r="G66" s="27"/>
    </row>
    <row r="67" spans="1:8" ht="15" customHeight="1" x14ac:dyDescent="0.25">
      <c r="A67" s="87" t="s">
        <v>2273</v>
      </c>
      <c r="B67" s="28"/>
      <c r="C67" s="26" t="str">
        <f t="shared" si="10"/>
        <v/>
      </c>
      <c r="E67" s="27" t="str">
        <f t="shared" ref="E67:E114" si="23">IF(LEN(B67)&gt;1,_FV(A67,"Price"),"")</f>
        <v/>
      </c>
      <c r="G67" s="27"/>
    </row>
    <row r="68" spans="1:8" ht="15" customHeight="1" x14ac:dyDescent="0.25">
      <c r="A68" s="28" t="s">
        <v>2941</v>
      </c>
      <c r="B68" s="28" t="str">
        <f>A68</f>
        <v>CDB 100%</v>
      </c>
      <c r="C68" s="26">
        <f t="shared" si="10"/>
        <v>0</v>
      </c>
      <c r="E68" s="27" t="e" vm="29">
        <f t="shared" ref="E68:E71" si="24">IF(LEN(B68)&gt;1,_FV(A68,"Price"),"")</f>
        <v>#VALUE!</v>
      </c>
      <c r="G68" s="27">
        <f>IFERROR((10489.18+4535.99+2051.39)/H68,0)</f>
        <v>0</v>
      </c>
      <c r="H68">
        <f>IFERROR(_xlfn.XLOOKUP(A68,Portfolio!C:C,Portfolio!D:D),0)</f>
        <v>0</v>
      </c>
    </row>
    <row r="69" spans="1:8" ht="15" customHeight="1" x14ac:dyDescent="0.25">
      <c r="A69" s="28"/>
      <c r="B69" s="28"/>
      <c r="C69" s="26" t="str">
        <f t="shared" si="10"/>
        <v/>
      </c>
      <c r="E69" s="27" t="str">
        <f t="shared" si="24"/>
        <v/>
      </c>
      <c r="G69" s="27"/>
    </row>
    <row r="70" spans="1:8" ht="15" customHeight="1" x14ac:dyDescent="0.25">
      <c r="A70" s="28"/>
      <c r="B70" s="28"/>
      <c r="C70" s="26" t="str">
        <f t="shared" si="10"/>
        <v/>
      </c>
      <c r="E70" s="27" t="str">
        <f t="shared" si="24"/>
        <v/>
      </c>
      <c r="G70" s="27"/>
    </row>
    <row r="71" spans="1:8" ht="15" customHeight="1" x14ac:dyDescent="0.25">
      <c r="A71" s="28"/>
      <c r="B71" s="28"/>
      <c r="C71" s="26" t="str">
        <f t="shared" ref="C71" si="25">IF(LEN(B71)&gt;1,IF(ISNUMBER(E71),E71,G71),"")</f>
        <v/>
      </c>
      <c r="E71" s="27" t="str">
        <f t="shared" si="24"/>
        <v/>
      </c>
      <c r="G71" s="27"/>
    </row>
    <row r="72" spans="1:8" ht="15" customHeight="1" x14ac:dyDescent="0.25">
      <c r="A72" s="28"/>
      <c r="B72" s="28"/>
      <c r="C72" s="26" t="str">
        <f t="shared" ref="C72" si="26">IF(LEN(B72)&gt;1,IF(ISNUMBER(E72),E72,G72),"")</f>
        <v/>
      </c>
      <c r="E72" s="27" t="str">
        <f t="shared" ref="E72" si="27">IF(LEN(B72)&gt;1,_FV(A72,"Price"),"")</f>
        <v/>
      </c>
      <c r="G72" s="27"/>
    </row>
    <row r="73" spans="1:8" ht="15" customHeight="1" x14ac:dyDescent="0.25">
      <c r="A73" s="28"/>
      <c r="B73" s="28"/>
      <c r="C73" s="26" t="str">
        <f t="shared" si="10"/>
        <v/>
      </c>
      <c r="E73" s="27" t="str">
        <f t="shared" si="23"/>
        <v/>
      </c>
      <c r="G73" s="27"/>
    </row>
    <row r="74" spans="1:8" ht="15" customHeight="1" x14ac:dyDescent="0.25">
      <c r="A74" s="87" t="s">
        <v>36</v>
      </c>
      <c r="B74" s="28"/>
      <c r="C74" s="26" t="str">
        <f t="shared" ref="C74:C82" si="28">IF(LEN(B74)&gt;1,IF(ISNUMBER(E74),E74,G74),"")</f>
        <v/>
      </c>
      <c r="E74" s="27" t="str">
        <f>IF(LEN(B74)&gt;1,_FV(A74,"Price"),"")</f>
        <v/>
      </c>
      <c r="G74" s="27"/>
    </row>
    <row r="75" spans="1:8" ht="15" customHeight="1" x14ac:dyDescent="0.25">
      <c r="A75" s="29" t="str">
        <f>B75&amp;"BRL"</f>
        <v>FETBRL</v>
      </c>
      <c r="B75" s="28" t="s">
        <v>2902</v>
      </c>
      <c r="C75" s="26">
        <f t="shared" si="28"/>
        <v>8.2100000000000009</v>
      </c>
      <c r="E75" s="27">
        <f>IF(LEN(B75)&gt;1,VLOOKUP(A75,Crypto!A:B,2,0),"")</f>
        <v>8.2100000000000009</v>
      </c>
      <c r="G75" s="27"/>
    </row>
    <row r="76" spans="1:8" ht="15" customHeight="1" x14ac:dyDescent="0.25">
      <c r="A76" s="29" t="str">
        <f t="shared" ref="A76" si="29">B76&amp;"BRL"</f>
        <v>BTCBRL</v>
      </c>
      <c r="B76" s="28" t="s">
        <v>38</v>
      </c>
      <c r="C76" s="26">
        <f t="shared" si="28"/>
        <v>583602</v>
      </c>
      <c r="E76" s="27">
        <f>IF(LEN(B76)&gt;1,VLOOKUP(A76,Crypto!A:B,2,0),"")</f>
        <v>583602</v>
      </c>
      <c r="G76" s="27"/>
    </row>
    <row r="77" spans="1:8" ht="15" customHeight="1" x14ac:dyDescent="0.25">
      <c r="A77" s="29" t="str">
        <f>B77&amp;"BRL"</f>
        <v>ETHBRL</v>
      </c>
      <c r="B77" s="28" t="s">
        <v>2271</v>
      </c>
      <c r="C77" s="26">
        <f t="shared" si="28"/>
        <v>21073.87</v>
      </c>
      <c r="E77" s="27">
        <f>IF(LEN(B77)&gt;1,VLOOKUP(A77,Crypto!A:B,2,0),"")</f>
        <v>21073.87</v>
      </c>
      <c r="G77" s="27"/>
    </row>
    <row r="78" spans="1:8" ht="15" customHeight="1" x14ac:dyDescent="0.25">
      <c r="A78" s="29" t="str">
        <f>B78&amp;"BRL"</f>
        <v>POLBRL</v>
      </c>
      <c r="B78" s="28" t="s">
        <v>2903</v>
      </c>
      <c r="C78" s="26">
        <f t="shared" si="28"/>
        <v>2.92</v>
      </c>
      <c r="E78" s="27">
        <f>IF(LEN(B78)&gt;1,VLOOKUP(A78,Crypto!A:B,2,0),"")</f>
        <v>2.92</v>
      </c>
      <c r="G78" s="27"/>
    </row>
    <row r="79" spans="1:8" ht="15" customHeight="1" x14ac:dyDescent="0.25">
      <c r="A79" s="29" t="str">
        <f>B79&amp;"BRL"</f>
        <v>RENDERBRL</v>
      </c>
      <c r="B79" s="28" t="s">
        <v>2917</v>
      </c>
      <c r="C79" s="26">
        <f t="shared" si="28"/>
        <v>43.22</v>
      </c>
      <c r="E79" s="27">
        <f>IF(LEN(B79)&gt;1,VLOOKUP(A79,Crypto!A:B,2,0),"")</f>
        <v>43.22</v>
      </c>
      <c r="G79" s="27"/>
    </row>
    <row r="80" spans="1:8" ht="15" customHeight="1" x14ac:dyDescent="0.25">
      <c r="A80" s="29" t="str">
        <f>B80&amp;"BRL"</f>
        <v>SOLBRL</v>
      </c>
      <c r="B80" s="28" t="s">
        <v>2272</v>
      </c>
      <c r="C80" s="26">
        <f t="shared" si="28"/>
        <v>1208.3</v>
      </c>
      <c r="E80" s="27">
        <f>IF(LEN(B80)&gt;1,VLOOKUP(A80,Crypto!A:B,2,0),"")</f>
        <v>1208.3</v>
      </c>
      <c r="G80" s="27"/>
    </row>
    <row r="81" spans="1:7" ht="15" customHeight="1" x14ac:dyDescent="0.25">
      <c r="A81" s="29" t="str">
        <f t="shared" ref="A81:A87" si="30">B81&amp;"USDT"</f>
        <v>TIAUSDT</v>
      </c>
      <c r="B81" s="28" t="s">
        <v>2558</v>
      </c>
      <c r="C81" s="26">
        <f t="shared" ca="1" si="28"/>
        <v>30.138884600000001</v>
      </c>
      <c r="E81" s="27">
        <f ca="1">IF(LEN(B81)&gt;1,VLOOKUP(A81,Crypto!A:B,2,0),"")*$E$3</f>
        <v>30.138884600000001</v>
      </c>
      <c r="G81" s="27"/>
    </row>
    <row r="82" spans="1:7" ht="15" customHeight="1" x14ac:dyDescent="0.25">
      <c r="A82" s="29" t="str">
        <f t="shared" si="30"/>
        <v>ENAUSDT</v>
      </c>
      <c r="B82" s="28" t="s">
        <v>2675</v>
      </c>
      <c r="C82" s="26">
        <f t="shared" ca="1" si="28"/>
        <v>6.0871029999999999</v>
      </c>
      <c r="E82" s="27">
        <f ca="1">IF(LEN(B82)&gt;1,VLOOKUP(A82,Crypto!A:B,2,0),"")*$E$3</f>
        <v>6.0871029999999999</v>
      </c>
      <c r="G82" s="27"/>
    </row>
    <row r="83" spans="1:7" ht="15" customHeight="1" x14ac:dyDescent="0.25">
      <c r="A83" s="29" t="str">
        <f t="shared" si="30"/>
        <v>IMXUSDT</v>
      </c>
      <c r="B83" s="28" t="s">
        <v>2651</v>
      </c>
      <c r="C83" s="26">
        <f t="shared" ref="C83:C84" ca="1" si="31">IF(LEN(B83)&gt;1,IF(ISNUMBER(E83),E83,G83),"")</f>
        <v>8.5034048000000002</v>
      </c>
      <c r="E83" s="27">
        <f ca="1">IF(LEN(B83)&gt;1,VLOOKUP(A83,Crypto!A:B,2,0),"")*$E$3</f>
        <v>8.5034048000000002</v>
      </c>
      <c r="G83" s="27"/>
    </row>
    <row r="84" spans="1:7" ht="15" customHeight="1" x14ac:dyDescent="0.25">
      <c r="A84" s="29" t="str">
        <f t="shared" si="30"/>
        <v>LDOUSDT</v>
      </c>
      <c r="B84" s="28" t="s">
        <v>2557</v>
      </c>
      <c r="C84" s="26">
        <f t="shared" ca="1" si="31"/>
        <v>11.8837554</v>
      </c>
      <c r="E84" s="27">
        <f ca="1">IF(LEN(B84)&gt;1,VLOOKUP(A84,Crypto!A:B,2,0),"")*$E$3</f>
        <v>11.8837554</v>
      </c>
      <c r="G84" s="27"/>
    </row>
    <row r="85" spans="1:7" ht="15" customHeight="1" x14ac:dyDescent="0.25">
      <c r="A85" s="29" t="str">
        <f t="shared" si="30"/>
        <v>PENDLEUSDT</v>
      </c>
      <c r="B85" s="28" t="s">
        <v>2652</v>
      </c>
      <c r="C85" s="26">
        <f t="shared" ref="C85" ca="1" si="32">IF(LEN(B85)&gt;1,IF(ISNUMBER(E85),E85,G85),"")</f>
        <v>31.875408400000005</v>
      </c>
      <c r="E85" s="27">
        <f ca="1">IF(LEN(B85)&gt;1,VLOOKUP(A85,Crypto!A:B,2,0),"")*$E$3</f>
        <v>31.875408400000005</v>
      </c>
      <c r="G85" s="27"/>
    </row>
    <row r="86" spans="1:7" ht="15" customHeight="1" x14ac:dyDescent="0.25">
      <c r="A86" s="29" t="str">
        <f t="shared" si="30"/>
        <v>HMSTRUSDT</v>
      </c>
      <c r="B86" s="28" t="s">
        <v>2922</v>
      </c>
      <c r="C86" s="26">
        <f t="shared" ref="C86:C87" ca="1" si="33">IF(LEN(B86)&gt;1,IF(ISNUMBER(E86),E86,G86),"")</f>
        <v>1.8749513199999998E-2</v>
      </c>
      <c r="E86" s="27">
        <f ca="1">IF(LEN(B86)&gt;1,VLOOKUP(A86,Crypto!A:B,2,0),"")*$E$3</f>
        <v>1.8749513199999998E-2</v>
      </c>
      <c r="G86" s="27"/>
    </row>
    <row r="87" spans="1:7" ht="15" customHeight="1" x14ac:dyDescent="0.25">
      <c r="A87" s="29" t="str">
        <f t="shared" si="30"/>
        <v>ARBUSDT</v>
      </c>
      <c r="B87" s="28" t="s">
        <v>2940</v>
      </c>
      <c r="C87" s="26">
        <f t="shared" ca="1" si="33"/>
        <v>4.6082768600000001</v>
      </c>
      <c r="E87" s="27">
        <f ca="1">IF(LEN(B87)&gt;1,VLOOKUP(A87,Crypto!A:B,2,0),"")*$E$3</f>
        <v>4.6082768600000001</v>
      </c>
      <c r="G87" s="27"/>
    </row>
    <row r="88" spans="1:7" ht="15" customHeight="1" x14ac:dyDescent="0.25">
      <c r="A88" s="29" t="str">
        <f>B88&amp;"BRL"</f>
        <v>SLFBRL</v>
      </c>
      <c r="B88" s="28" t="s">
        <v>2962</v>
      </c>
      <c r="C88" s="26">
        <f t="shared" ref="C88" si="34">IF(LEN(B88)&gt;1,IF(ISNUMBER(E88),E88,G88),"")</f>
        <v>0.33539999999999998</v>
      </c>
      <c r="E88" s="27" t="e">
        <f>IF(LEN(B88)&gt;1,VLOOKUP(A88,Crypto!A:B,2,0),"")</f>
        <v>#N/A</v>
      </c>
      <c r="G88" s="27">
        <v>0.33539999999999998</v>
      </c>
    </row>
    <row r="89" spans="1:7" ht="15" customHeight="1" x14ac:dyDescent="0.25">
      <c r="A89" s="29" t="str">
        <f>B89&amp;"BRL"</f>
        <v>GRASSBRL</v>
      </c>
      <c r="B89" s="28" t="s">
        <v>2961</v>
      </c>
      <c r="C89" s="26">
        <f t="shared" ref="C89" si="35">IF(LEN(B89)&gt;1,IF(ISNUMBER(E89),E89,G89),"")</f>
        <v>10.199999999999999</v>
      </c>
      <c r="E89" s="27" t="e">
        <f>IF(LEN(B89)&gt;1,VLOOKUP(A89,Crypto!A:B,2,0),"")</f>
        <v>#N/A</v>
      </c>
      <c r="G89" s="27">
        <v>10.199999999999999</v>
      </c>
    </row>
    <row r="90" spans="1:7" ht="15" customHeight="1" x14ac:dyDescent="0.25">
      <c r="A90" s="29" t="str">
        <f>B90&amp;"BRL"</f>
        <v>LINKBRL</v>
      </c>
      <c r="B90" s="28" t="s">
        <v>2943</v>
      </c>
      <c r="C90" s="26">
        <f t="shared" ref="C90" si="36">IF(LEN(B90)&gt;1,IF(ISNUMBER(E90),E90,G90),"")</f>
        <v>130.63999999999999</v>
      </c>
      <c r="E90" s="27">
        <f>IF(LEN(B90)&gt;1,VLOOKUP(A90,Crypto!A:B,2,0),"")</f>
        <v>130.63999999999999</v>
      </c>
      <c r="G90" s="27"/>
    </row>
    <row r="91" spans="1:7" ht="15" customHeight="1" x14ac:dyDescent="0.25">
      <c r="A91" s="29" t="str">
        <f>B91&amp;"BRL"</f>
        <v>USDTBRL</v>
      </c>
      <c r="B91" s="28" t="s">
        <v>2952</v>
      </c>
      <c r="C91" s="26">
        <f t="shared" ref="C91" si="37">IF(LEN(B91)&gt;1,IF(ISNUMBER(E91),E91,G91),"")</f>
        <v>6.21</v>
      </c>
      <c r="E91" s="27">
        <f>IF(LEN(B91)&gt;1,VLOOKUP(A91,Crypto!A:B,2,0),"")</f>
        <v>6.21</v>
      </c>
      <c r="G91" s="27"/>
    </row>
    <row r="92" spans="1:7" ht="15" customHeight="1" x14ac:dyDescent="0.25">
      <c r="A92" s="29" t="str">
        <f t="shared" ref="A92:A94" si="38">B92&amp;"USDT"</f>
        <v>UNIUSDT</v>
      </c>
      <c r="B92" s="28" t="s">
        <v>2965</v>
      </c>
      <c r="C92" s="26">
        <f t="shared" si="10"/>
        <v>13.499000000000001</v>
      </c>
      <c r="E92" s="27">
        <f>IF(LEN(B92)&gt;1,VLOOKUP(A92,Crypto!A:B,2,0),"")</f>
        <v>13.499000000000001</v>
      </c>
      <c r="G92" s="27"/>
    </row>
    <row r="93" spans="1:7" ht="15" customHeight="1" x14ac:dyDescent="0.25">
      <c r="A93" s="29" t="str">
        <f t="shared" si="38"/>
        <v>ARBUSDT</v>
      </c>
      <c r="B93" s="28" t="s">
        <v>2940</v>
      </c>
      <c r="C93" s="26">
        <f t="shared" si="10"/>
        <v>0.74570000000000003</v>
      </c>
      <c r="E93" s="27">
        <f>IF(LEN(B93)&gt;1,VLOOKUP(A93,Crypto!A:B,2,0),"")</f>
        <v>0.74570000000000003</v>
      </c>
      <c r="G93" s="27"/>
    </row>
    <row r="94" spans="1:7" ht="15" customHeight="1" x14ac:dyDescent="0.25">
      <c r="A94" s="29" t="str">
        <f t="shared" si="38"/>
        <v>HBARUSDT</v>
      </c>
      <c r="B94" s="28" t="s">
        <v>2966</v>
      </c>
      <c r="C94" s="26">
        <f t="shared" si="10"/>
        <v>0.28111000000000003</v>
      </c>
      <c r="E94" s="27">
        <f>IF(LEN(B94)&gt;1,VLOOKUP(A94,Crypto!A:B,2,0),"")</f>
        <v>0.28111000000000003</v>
      </c>
      <c r="G94" s="27"/>
    </row>
    <row r="95" spans="1:7" ht="15" customHeight="1" x14ac:dyDescent="0.25">
      <c r="A95" s="29" t="str">
        <f t="shared" ref="A95:A100" si="39">B95&amp;"BRL"</f>
        <v>CAKEBRL</v>
      </c>
      <c r="B95" s="28" t="s">
        <v>2967</v>
      </c>
      <c r="C95" s="26">
        <f t="shared" si="10"/>
        <v>0</v>
      </c>
      <c r="E95" s="27">
        <f>IF(LEN(B95)&gt;1,VLOOKUP(A95,Crypto!A:B,2,0),"")</f>
        <v>0</v>
      </c>
      <c r="G95" s="27"/>
    </row>
    <row r="96" spans="1:7" ht="15" customHeight="1" x14ac:dyDescent="0.25">
      <c r="A96" s="29" t="str">
        <f t="shared" ref="A96:A98" si="40">B96&amp;"USDT"</f>
        <v>OPUSDT</v>
      </c>
      <c r="B96" s="28" t="s">
        <v>2968</v>
      </c>
      <c r="C96" s="26">
        <f t="shared" si="10"/>
        <v>1.8560000000000001</v>
      </c>
      <c r="E96" s="27">
        <f>IF(LEN(B96)&gt;1,VLOOKUP(A96,Crypto!A:B,2,0),"")</f>
        <v>1.8560000000000001</v>
      </c>
      <c r="G96" s="27"/>
    </row>
    <row r="97" spans="1:7" ht="15" customHeight="1" x14ac:dyDescent="0.25">
      <c r="A97" s="29" t="str">
        <f t="shared" si="40"/>
        <v>ARUSDT</v>
      </c>
      <c r="B97" s="28" t="s">
        <v>2969</v>
      </c>
      <c r="C97" s="26">
        <f t="shared" si="10"/>
        <v>16.940000000000001</v>
      </c>
      <c r="E97" s="27">
        <f>IF(LEN(B97)&gt;1,VLOOKUP(A97,Crypto!A:B,2,0),"")</f>
        <v>16.940000000000001</v>
      </c>
      <c r="G97" s="27"/>
    </row>
    <row r="98" spans="1:7" ht="15" customHeight="1" x14ac:dyDescent="0.25">
      <c r="A98" s="29" t="str">
        <f t="shared" si="40"/>
        <v>SEIUSDT</v>
      </c>
      <c r="B98" s="28" t="s">
        <v>2970</v>
      </c>
      <c r="C98" s="26">
        <f t="shared" si="10"/>
        <v>0.41520000000000001</v>
      </c>
      <c r="E98" s="27">
        <f>IF(LEN(B98)&gt;1,VLOOKUP(A98,Crypto!A:B,2,0),"")</f>
        <v>0.41520000000000001</v>
      </c>
      <c r="G98" s="27"/>
    </row>
    <row r="99" spans="1:7" ht="15" customHeight="1" x14ac:dyDescent="0.25">
      <c r="A99" s="29" t="str">
        <f t="shared" si="39"/>
        <v>PEPEBRL</v>
      </c>
      <c r="B99" s="28" t="s">
        <v>2971</v>
      </c>
      <c r="C99" s="26">
        <f t="shared" si="10"/>
        <v>1.1477E-4</v>
      </c>
      <c r="E99" s="27">
        <f>IF(LEN(B99)&gt;1,VLOOKUP(A99,Crypto!A:B,2,0),"")</f>
        <v>1.1477E-4</v>
      </c>
      <c r="G99" s="27"/>
    </row>
    <row r="100" spans="1:7" ht="15" customHeight="1" x14ac:dyDescent="0.25">
      <c r="A100" s="29" t="str">
        <f t="shared" si="39"/>
        <v>GALABRL</v>
      </c>
      <c r="B100" s="28" t="s">
        <v>2972</v>
      </c>
      <c r="C100" s="26">
        <f t="shared" si="10"/>
        <v>0.21859999999999999</v>
      </c>
      <c r="E100" s="27">
        <f>IF(LEN(B100)&gt;1,VLOOKUP(A100,Crypto!A:B,2,0),"")</f>
        <v>0.21859999999999999</v>
      </c>
      <c r="G100" s="27"/>
    </row>
    <row r="101" spans="1:7" ht="15" customHeight="1" x14ac:dyDescent="0.25">
      <c r="A101" s="29" t="str">
        <f t="shared" ref="A101" si="41">B101&amp;"USDT"</f>
        <v>DUSKUSDT</v>
      </c>
      <c r="B101" s="28" t="s">
        <v>2973</v>
      </c>
      <c r="C101" s="26">
        <f t="shared" si="10"/>
        <v>0.2384</v>
      </c>
      <c r="E101" s="27">
        <f>IF(LEN(B101)&gt;1,VLOOKUP(A101,Crypto!A:B,2,0),"")</f>
        <v>0.2384</v>
      </c>
      <c r="G101" s="27"/>
    </row>
    <row r="102" spans="1:7" ht="15" customHeight="1" x14ac:dyDescent="0.25">
      <c r="A102" s="29"/>
      <c r="B102" s="28"/>
      <c r="C102" s="26" t="str">
        <f t="shared" si="10"/>
        <v/>
      </c>
      <c r="E102" s="27" t="str">
        <f>IF(LEN(B102)&gt;1,VLOOKUP(A102,Crypto!A:B,2,0),"")</f>
        <v/>
      </c>
      <c r="G102" s="27"/>
    </row>
    <row r="103" spans="1:7" ht="15" customHeight="1" x14ac:dyDescent="0.25">
      <c r="A103" s="29"/>
      <c r="B103" s="28"/>
      <c r="C103" s="26" t="str">
        <f t="shared" si="10"/>
        <v/>
      </c>
      <c r="E103" s="27" t="str">
        <f>IF(LEN(B103)&gt;1,VLOOKUP(A103,Crypto!A:B,2,0),"")</f>
        <v/>
      </c>
      <c r="G103" s="27"/>
    </row>
    <row r="104" spans="1:7" ht="15" customHeight="1" x14ac:dyDescent="0.25">
      <c r="A104" s="28"/>
      <c r="B104" s="28"/>
      <c r="C104" s="26" t="str">
        <f t="shared" si="10"/>
        <v/>
      </c>
      <c r="E104" s="27" t="str">
        <f>IF(LEN(B104)&gt;1,VLOOKUP(A104,Crypto!A:B,2,0),"")</f>
        <v/>
      </c>
      <c r="G104" s="27"/>
    </row>
    <row r="105" spans="1:7" ht="15" customHeight="1" x14ac:dyDescent="0.25">
      <c r="A105" s="28"/>
      <c r="B105" s="28"/>
      <c r="C105" s="26" t="str">
        <f t="shared" si="10"/>
        <v/>
      </c>
      <c r="E105" s="27" t="str">
        <f>IF(LEN(B105)&gt;1,VLOOKUP(A105,Crypto!A:B,2,0),"")</f>
        <v/>
      </c>
      <c r="G105" s="27"/>
    </row>
    <row r="106" spans="1:7" ht="15" customHeight="1" x14ac:dyDescent="0.25">
      <c r="A106" s="28"/>
      <c r="B106" s="28"/>
      <c r="C106" s="26" t="str">
        <f t="shared" si="10"/>
        <v/>
      </c>
      <c r="E106" s="27" t="str">
        <f t="shared" si="23"/>
        <v/>
      </c>
      <c r="G106" s="27"/>
    </row>
    <row r="107" spans="1:7" ht="15" customHeight="1" x14ac:dyDescent="0.25">
      <c r="A107" s="28"/>
      <c r="B107" s="28"/>
      <c r="C107" s="26" t="str">
        <f t="shared" si="10"/>
        <v/>
      </c>
      <c r="E107" s="27" t="str">
        <f t="shared" si="23"/>
        <v/>
      </c>
      <c r="G107" s="27"/>
    </row>
    <row r="108" spans="1:7" ht="15" customHeight="1" x14ac:dyDescent="0.25">
      <c r="A108" s="28"/>
      <c r="B108" s="28"/>
      <c r="C108" s="26" t="str">
        <f t="shared" si="10"/>
        <v/>
      </c>
      <c r="E108" s="27" t="str">
        <f t="shared" si="23"/>
        <v/>
      </c>
      <c r="G108" s="27"/>
    </row>
    <row r="109" spans="1:7" ht="15" customHeight="1" x14ac:dyDescent="0.25">
      <c r="A109" s="28"/>
      <c r="B109" s="28"/>
      <c r="C109" s="26" t="str">
        <f t="shared" si="10"/>
        <v/>
      </c>
      <c r="E109" s="27" t="str">
        <f t="shared" si="23"/>
        <v/>
      </c>
      <c r="G109" s="27"/>
    </row>
    <row r="110" spans="1:7" ht="15" customHeight="1" x14ac:dyDescent="0.25">
      <c r="A110" s="28"/>
      <c r="B110" s="28"/>
      <c r="C110" s="26" t="str">
        <f t="shared" si="10"/>
        <v/>
      </c>
      <c r="E110" s="27" t="str">
        <f t="shared" si="23"/>
        <v/>
      </c>
      <c r="G110" s="27"/>
    </row>
    <row r="111" spans="1:7" ht="15" customHeight="1" x14ac:dyDescent="0.25">
      <c r="A111" s="28"/>
      <c r="B111" s="28"/>
      <c r="C111" s="26" t="str">
        <f t="shared" si="10"/>
        <v/>
      </c>
      <c r="E111" s="27" t="str">
        <f t="shared" si="23"/>
        <v/>
      </c>
      <c r="G111" s="27"/>
    </row>
    <row r="112" spans="1:7" ht="15" customHeight="1" x14ac:dyDescent="0.25">
      <c r="A112" s="28"/>
      <c r="B112" s="28"/>
      <c r="C112" s="26" t="str">
        <f t="shared" si="10"/>
        <v/>
      </c>
      <c r="E112" s="27" t="str">
        <f t="shared" si="23"/>
        <v/>
      </c>
      <c r="G112" s="27"/>
    </row>
    <row r="113" spans="1:7" ht="15" customHeight="1" x14ac:dyDescent="0.25">
      <c r="A113" s="28"/>
      <c r="B113" s="28"/>
      <c r="C113" s="26" t="str">
        <f t="shared" ref="C113:C176" si="42">IF(LEN(B113)&gt;1,IF(ISNUMBER(E113),E113,G113),"")</f>
        <v/>
      </c>
      <c r="E113" s="27" t="str">
        <f t="shared" si="23"/>
        <v/>
      </c>
      <c r="G113" s="27"/>
    </row>
    <row r="114" spans="1:7" ht="15" customHeight="1" x14ac:dyDescent="0.25">
      <c r="A114" s="28"/>
      <c r="B114" s="28"/>
      <c r="C114" s="26" t="str">
        <f t="shared" si="42"/>
        <v/>
      </c>
      <c r="E114" s="27" t="str">
        <f t="shared" si="23"/>
        <v/>
      </c>
      <c r="G114" s="27"/>
    </row>
    <row r="115" spans="1:7" ht="15" customHeight="1" x14ac:dyDescent="0.25">
      <c r="A115" s="28"/>
      <c r="B115" s="28"/>
      <c r="C115" s="26" t="str">
        <f t="shared" si="42"/>
        <v/>
      </c>
      <c r="E115" s="27" t="str">
        <f t="shared" ref="E115:E146" si="43">IF(LEN(B115)&gt;1,_FV(A115,"Price"),"")</f>
        <v/>
      </c>
      <c r="G115" s="27"/>
    </row>
    <row r="116" spans="1:7" ht="15" customHeight="1" x14ac:dyDescent="0.25">
      <c r="A116" s="28"/>
      <c r="B116" s="28"/>
      <c r="C116" s="26" t="str">
        <f t="shared" si="42"/>
        <v/>
      </c>
      <c r="E116" s="27" t="str">
        <f t="shared" si="43"/>
        <v/>
      </c>
      <c r="G116" s="27"/>
    </row>
    <row r="117" spans="1:7" ht="15" customHeight="1" x14ac:dyDescent="0.25">
      <c r="A117" s="28"/>
      <c r="B117" s="28"/>
      <c r="C117" s="26" t="str">
        <f t="shared" si="42"/>
        <v/>
      </c>
      <c r="E117" s="27" t="str">
        <f t="shared" si="43"/>
        <v/>
      </c>
      <c r="G117" s="27"/>
    </row>
    <row r="118" spans="1:7" ht="15" customHeight="1" x14ac:dyDescent="0.25">
      <c r="A118" s="28"/>
      <c r="B118" s="28"/>
      <c r="C118" s="26" t="str">
        <f t="shared" si="42"/>
        <v/>
      </c>
      <c r="E118" s="27" t="str">
        <f t="shared" si="43"/>
        <v/>
      </c>
      <c r="G118" s="27"/>
    </row>
    <row r="119" spans="1:7" ht="15" customHeight="1" x14ac:dyDescent="0.25">
      <c r="A119" s="28"/>
      <c r="B119" s="28"/>
      <c r="C119" s="26" t="str">
        <f t="shared" si="42"/>
        <v/>
      </c>
      <c r="E119" s="27" t="str">
        <f t="shared" si="43"/>
        <v/>
      </c>
      <c r="G119" s="27"/>
    </row>
    <row r="120" spans="1:7" ht="15" customHeight="1" x14ac:dyDescent="0.25">
      <c r="A120" s="28"/>
      <c r="B120" s="28"/>
      <c r="C120" s="26" t="str">
        <f t="shared" si="42"/>
        <v/>
      </c>
      <c r="E120" s="27" t="str">
        <f t="shared" si="43"/>
        <v/>
      </c>
      <c r="G120" s="27"/>
    </row>
    <row r="121" spans="1:7" ht="15" customHeight="1" x14ac:dyDescent="0.25">
      <c r="A121" s="28"/>
      <c r="B121" s="28"/>
      <c r="C121" s="26" t="str">
        <f t="shared" si="42"/>
        <v/>
      </c>
      <c r="E121" s="27" t="str">
        <f t="shared" si="43"/>
        <v/>
      </c>
      <c r="G121" s="27"/>
    </row>
    <row r="122" spans="1:7" ht="15" customHeight="1" x14ac:dyDescent="0.25">
      <c r="A122" s="28"/>
      <c r="B122" s="28"/>
      <c r="C122" s="26" t="str">
        <f t="shared" si="42"/>
        <v/>
      </c>
      <c r="E122" s="27" t="str">
        <f t="shared" si="43"/>
        <v/>
      </c>
      <c r="G122" s="27"/>
    </row>
    <row r="123" spans="1:7" ht="15" customHeight="1" x14ac:dyDescent="0.25">
      <c r="A123" s="28"/>
      <c r="B123" s="28"/>
      <c r="C123" s="26" t="str">
        <f t="shared" si="42"/>
        <v/>
      </c>
      <c r="E123" s="27" t="str">
        <f t="shared" si="43"/>
        <v/>
      </c>
      <c r="G123" s="27"/>
    </row>
    <row r="124" spans="1:7" ht="15" customHeight="1" x14ac:dyDescent="0.25">
      <c r="A124" s="28"/>
      <c r="B124" s="28"/>
      <c r="C124" s="26" t="str">
        <f t="shared" si="42"/>
        <v/>
      </c>
      <c r="E124" s="27" t="str">
        <f t="shared" si="43"/>
        <v/>
      </c>
      <c r="G124" s="27"/>
    </row>
    <row r="125" spans="1:7" ht="15" customHeight="1" x14ac:dyDescent="0.25">
      <c r="A125" s="28"/>
      <c r="B125" s="28"/>
      <c r="C125" s="26" t="str">
        <f t="shared" si="42"/>
        <v/>
      </c>
      <c r="E125" s="27" t="str">
        <f t="shared" si="43"/>
        <v/>
      </c>
      <c r="G125" s="27"/>
    </row>
    <row r="126" spans="1:7" ht="15" customHeight="1" x14ac:dyDescent="0.25">
      <c r="A126" s="28"/>
      <c r="B126" s="28"/>
      <c r="C126" s="26" t="str">
        <f t="shared" si="42"/>
        <v/>
      </c>
      <c r="E126" s="27" t="str">
        <f t="shared" si="43"/>
        <v/>
      </c>
      <c r="G126" s="27"/>
    </row>
    <row r="127" spans="1:7" ht="15" customHeight="1" x14ac:dyDescent="0.25">
      <c r="A127" s="28"/>
      <c r="B127" s="28"/>
      <c r="C127" s="26" t="str">
        <f t="shared" si="42"/>
        <v/>
      </c>
      <c r="E127" s="27" t="str">
        <f t="shared" si="43"/>
        <v/>
      </c>
      <c r="G127" s="27"/>
    </row>
    <row r="128" spans="1:7" ht="15" customHeight="1" x14ac:dyDescent="0.25">
      <c r="A128" s="28"/>
      <c r="B128" s="28"/>
      <c r="C128" s="26" t="str">
        <f t="shared" si="42"/>
        <v/>
      </c>
      <c r="E128" s="27" t="str">
        <f t="shared" si="43"/>
        <v/>
      </c>
      <c r="G128" s="27"/>
    </row>
    <row r="129" spans="1:7" ht="15" customHeight="1" x14ac:dyDescent="0.25">
      <c r="A129" s="28"/>
      <c r="B129" s="28"/>
      <c r="C129" s="26" t="str">
        <f t="shared" si="42"/>
        <v/>
      </c>
      <c r="E129" s="27" t="str">
        <f t="shared" si="43"/>
        <v/>
      </c>
      <c r="G129" s="27"/>
    </row>
    <row r="130" spans="1:7" ht="15" customHeight="1" x14ac:dyDescent="0.25">
      <c r="A130" s="28"/>
      <c r="B130" s="28"/>
      <c r="C130" s="26" t="str">
        <f t="shared" si="42"/>
        <v/>
      </c>
      <c r="E130" s="27" t="str">
        <f t="shared" si="43"/>
        <v/>
      </c>
      <c r="G130" s="27"/>
    </row>
    <row r="131" spans="1:7" ht="15" customHeight="1" x14ac:dyDescent="0.25">
      <c r="A131" s="28"/>
      <c r="B131" s="28"/>
      <c r="C131" s="26" t="str">
        <f t="shared" si="42"/>
        <v/>
      </c>
      <c r="E131" s="27" t="str">
        <f t="shared" si="43"/>
        <v/>
      </c>
      <c r="G131" s="27"/>
    </row>
    <row r="132" spans="1:7" ht="15" customHeight="1" x14ac:dyDescent="0.25">
      <c r="A132" s="28"/>
      <c r="B132" s="28"/>
      <c r="C132" s="26" t="str">
        <f t="shared" si="42"/>
        <v/>
      </c>
      <c r="E132" s="27" t="str">
        <f t="shared" si="43"/>
        <v/>
      </c>
      <c r="G132" s="27"/>
    </row>
    <row r="133" spans="1:7" ht="15" customHeight="1" x14ac:dyDescent="0.25">
      <c r="A133" s="28"/>
      <c r="B133" s="28"/>
      <c r="C133" s="26" t="str">
        <f t="shared" si="42"/>
        <v/>
      </c>
      <c r="E133" s="27" t="str">
        <f t="shared" si="43"/>
        <v/>
      </c>
      <c r="G133" s="27"/>
    </row>
    <row r="134" spans="1:7" ht="15" customHeight="1" x14ac:dyDescent="0.25">
      <c r="A134" s="28"/>
      <c r="B134" s="28"/>
      <c r="C134" s="26" t="str">
        <f t="shared" si="42"/>
        <v/>
      </c>
      <c r="E134" s="27" t="str">
        <f t="shared" si="43"/>
        <v/>
      </c>
      <c r="G134" s="27"/>
    </row>
    <row r="135" spans="1:7" ht="15" customHeight="1" x14ac:dyDescent="0.25">
      <c r="A135" s="28"/>
      <c r="B135" s="28"/>
      <c r="C135" s="26" t="str">
        <f t="shared" si="42"/>
        <v/>
      </c>
      <c r="E135" s="27" t="str">
        <f t="shared" si="43"/>
        <v/>
      </c>
      <c r="G135" s="27"/>
    </row>
    <row r="136" spans="1:7" ht="15" customHeight="1" x14ac:dyDescent="0.25">
      <c r="A136" s="28"/>
      <c r="B136" s="28"/>
      <c r="C136" s="26" t="str">
        <f t="shared" si="42"/>
        <v/>
      </c>
      <c r="E136" s="27" t="str">
        <f t="shared" si="43"/>
        <v/>
      </c>
      <c r="G136" s="27"/>
    </row>
    <row r="137" spans="1:7" ht="15" customHeight="1" x14ac:dyDescent="0.25">
      <c r="A137" s="28"/>
      <c r="B137" s="28"/>
      <c r="C137" s="26" t="str">
        <f t="shared" si="42"/>
        <v/>
      </c>
      <c r="E137" s="27" t="str">
        <f t="shared" si="43"/>
        <v/>
      </c>
      <c r="G137" s="27"/>
    </row>
    <row r="138" spans="1:7" ht="15" customHeight="1" x14ac:dyDescent="0.25">
      <c r="A138" s="28"/>
      <c r="B138" s="28"/>
      <c r="C138" s="26" t="str">
        <f t="shared" si="42"/>
        <v/>
      </c>
      <c r="E138" s="27" t="str">
        <f t="shared" si="43"/>
        <v/>
      </c>
      <c r="G138" s="27"/>
    </row>
    <row r="139" spans="1:7" ht="15" customHeight="1" x14ac:dyDescent="0.25">
      <c r="A139" s="28"/>
      <c r="B139" s="28"/>
      <c r="C139" s="26" t="str">
        <f t="shared" si="42"/>
        <v/>
      </c>
      <c r="E139" s="27" t="str">
        <f t="shared" si="43"/>
        <v/>
      </c>
      <c r="G139" s="27"/>
    </row>
    <row r="140" spans="1:7" ht="15" customHeight="1" x14ac:dyDescent="0.25">
      <c r="A140" s="28"/>
      <c r="B140" s="28"/>
      <c r="C140" s="26" t="str">
        <f t="shared" si="42"/>
        <v/>
      </c>
      <c r="E140" s="27" t="str">
        <f t="shared" si="43"/>
        <v/>
      </c>
      <c r="G140" s="27"/>
    </row>
    <row r="141" spans="1:7" ht="15" customHeight="1" x14ac:dyDescent="0.25">
      <c r="A141" s="28"/>
      <c r="B141" s="28"/>
      <c r="C141" s="26" t="str">
        <f t="shared" si="42"/>
        <v/>
      </c>
      <c r="E141" s="27" t="str">
        <f t="shared" si="43"/>
        <v/>
      </c>
      <c r="G141" s="27"/>
    </row>
    <row r="142" spans="1:7" ht="15" customHeight="1" x14ac:dyDescent="0.25">
      <c r="A142" s="28"/>
      <c r="B142" s="28"/>
      <c r="C142" s="26" t="str">
        <f t="shared" si="42"/>
        <v/>
      </c>
      <c r="E142" s="27" t="str">
        <f t="shared" si="43"/>
        <v/>
      </c>
      <c r="G142" s="27"/>
    </row>
    <row r="143" spans="1:7" ht="15" customHeight="1" x14ac:dyDescent="0.25">
      <c r="A143" s="28"/>
      <c r="B143" s="28"/>
      <c r="C143" s="26" t="str">
        <f t="shared" si="42"/>
        <v/>
      </c>
      <c r="E143" s="27" t="str">
        <f t="shared" si="43"/>
        <v/>
      </c>
      <c r="G143" s="27"/>
    </row>
    <row r="144" spans="1:7" ht="15" customHeight="1" x14ac:dyDescent="0.25">
      <c r="A144" s="28"/>
      <c r="B144" s="28"/>
      <c r="C144" s="26" t="str">
        <f t="shared" si="42"/>
        <v/>
      </c>
      <c r="E144" s="27" t="str">
        <f t="shared" si="43"/>
        <v/>
      </c>
      <c r="G144" s="27"/>
    </row>
    <row r="145" spans="1:7" ht="15" customHeight="1" x14ac:dyDescent="0.25">
      <c r="A145" s="28"/>
      <c r="B145" s="28"/>
      <c r="C145" s="26" t="str">
        <f t="shared" si="42"/>
        <v/>
      </c>
      <c r="E145" s="27" t="str">
        <f t="shared" si="43"/>
        <v/>
      </c>
      <c r="G145" s="27"/>
    </row>
    <row r="146" spans="1:7" ht="15" customHeight="1" x14ac:dyDescent="0.25">
      <c r="A146" s="28"/>
      <c r="B146" s="28"/>
      <c r="C146" s="26" t="str">
        <f t="shared" si="42"/>
        <v/>
      </c>
      <c r="E146" s="27" t="str">
        <f t="shared" si="43"/>
        <v/>
      </c>
      <c r="G146" s="27"/>
    </row>
    <row r="147" spans="1:7" ht="15" customHeight="1" x14ac:dyDescent="0.25">
      <c r="A147" s="28"/>
      <c r="B147" s="28"/>
      <c r="C147" s="26" t="str">
        <f t="shared" si="42"/>
        <v/>
      </c>
      <c r="E147" s="27" t="str">
        <f t="shared" ref="E147:E178" si="44">IF(LEN(B147)&gt;1,_FV(A147,"Price"),"")</f>
        <v/>
      </c>
      <c r="G147" s="27"/>
    </row>
    <row r="148" spans="1:7" ht="15" customHeight="1" x14ac:dyDescent="0.25">
      <c r="A148" s="28"/>
      <c r="B148" s="28"/>
      <c r="C148" s="26" t="str">
        <f t="shared" si="42"/>
        <v/>
      </c>
      <c r="E148" s="27" t="str">
        <f t="shared" si="44"/>
        <v/>
      </c>
      <c r="G148" s="27"/>
    </row>
    <row r="149" spans="1:7" ht="15" customHeight="1" x14ac:dyDescent="0.25">
      <c r="A149" s="28"/>
      <c r="B149" s="28"/>
      <c r="C149" s="26" t="str">
        <f t="shared" si="42"/>
        <v/>
      </c>
      <c r="E149" s="27" t="str">
        <f t="shared" si="44"/>
        <v/>
      </c>
      <c r="G149" s="27"/>
    </row>
    <row r="150" spans="1:7" ht="15" customHeight="1" x14ac:dyDescent="0.25">
      <c r="A150" s="28"/>
      <c r="B150" s="28"/>
      <c r="C150" s="26" t="str">
        <f t="shared" si="42"/>
        <v/>
      </c>
      <c r="E150" s="27" t="str">
        <f t="shared" si="44"/>
        <v/>
      </c>
      <c r="G150" s="27"/>
    </row>
    <row r="151" spans="1:7" ht="15" customHeight="1" x14ac:dyDescent="0.25">
      <c r="A151" s="28"/>
      <c r="B151" s="28"/>
      <c r="C151" s="26" t="str">
        <f t="shared" si="42"/>
        <v/>
      </c>
      <c r="E151" s="27" t="str">
        <f t="shared" si="44"/>
        <v/>
      </c>
      <c r="G151" s="27"/>
    </row>
    <row r="152" spans="1:7" ht="15" customHeight="1" x14ac:dyDescent="0.25">
      <c r="A152" s="28"/>
      <c r="B152" s="28"/>
      <c r="C152" s="26" t="str">
        <f t="shared" si="42"/>
        <v/>
      </c>
      <c r="E152" s="27" t="str">
        <f t="shared" si="44"/>
        <v/>
      </c>
      <c r="G152" s="27"/>
    </row>
    <row r="153" spans="1:7" ht="15" customHeight="1" x14ac:dyDescent="0.25">
      <c r="A153" s="28"/>
      <c r="B153" s="28"/>
      <c r="C153" s="26" t="str">
        <f t="shared" si="42"/>
        <v/>
      </c>
      <c r="E153" s="27" t="str">
        <f t="shared" si="44"/>
        <v/>
      </c>
      <c r="G153" s="27"/>
    </row>
    <row r="154" spans="1:7" ht="15" customHeight="1" x14ac:dyDescent="0.25">
      <c r="A154" s="28"/>
      <c r="B154" s="28"/>
      <c r="C154" s="26" t="str">
        <f t="shared" si="42"/>
        <v/>
      </c>
      <c r="E154" s="27" t="str">
        <f t="shared" si="44"/>
        <v/>
      </c>
      <c r="G154" s="27"/>
    </row>
    <row r="155" spans="1:7" ht="15" customHeight="1" x14ac:dyDescent="0.25">
      <c r="A155" s="28"/>
      <c r="B155" s="28"/>
      <c r="C155" s="26" t="str">
        <f t="shared" si="42"/>
        <v/>
      </c>
      <c r="E155" s="27" t="str">
        <f t="shared" si="44"/>
        <v/>
      </c>
      <c r="G155" s="27"/>
    </row>
    <row r="156" spans="1:7" ht="15" customHeight="1" x14ac:dyDescent="0.25">
      <c r="A156" s="28"/>
      <c r="B156" s="28"/>
      <c r="C156" s="26" t="str">
        <f t="shared" si="42"/>
        <v/>
      </c>
      <c r="E156" s="27" t="str">
        <f t="shared" si="44"/>
        <v/>
      </c>
      <c r="G156" s="27"/>
    </row>
    <row r="157" spans="1:7" ht="15" customHeight="1" x14ac:dyDescent="0.25">
      <c r="A157" s="28"/>
      <c r="B157" s="28"/>
      <c r="C157" s="26" t="str">
        <f t="shared" si="42"/>
        <v/>
      </c>
      <c r="E157" s="27" t="str">
        <f t="shared" si="44"/>
        <v/>
      </c>
      <c r="G157" s="27"/>
    </row>
    <row r="158" spans="1:7" ht="15" customHeight="1" x14ac:dyDescent="0.25">
      <c r="A158" s="28"/>
      <c r="B158" s="28"/>
      <c r="C158" s="26" t="str">
        <f t="shared" si="42"/>
        <v/>
      </c>
      <c r="E158" s="27" t="str">
        <f t="shared" si="44"/>
        <v/>
      </c>
      <c r="G158" s="27"/>
    </row>
    <row r="159" spans="1:7" ht="15" customHeight="1" x14ac:dyDescent="0.25">
      <c r="A159" s="28"/>
      <c r="B159" s="28"/>
      <c r="C159" s="26" t="str">
        <f t="shared" si="42"/>
        <v/>
      </c>
      <c r="E159" s="27" t="str">
        <f t="shared" si="44"/>
        <v/>
      </c>
      <c r="G159" s="27"/>
    </row>
    <row r="160" spans="1:7" ht="15" customHeight="1" x14ac:dyDescent="0.25">
      <c r="A160" s="28"/>
      <c r="B160" s="28"/>
      <c r="C160" s="26" t="str">
        <f t="shared" si="42"/>
        <v/>
      </c>
      <c r="E160" s="27" t="str">
        <f t="shared" si="44"/>
        <v/>
      </c>
      <c r="G160" s="27"/>
    </row>
    <row r="161" spans="1:7" ht="15" customHeight="1" x14ac:dyDescent="0.25">
      <c r="A161" s="28"/>
      <c r="B161" s="28"/>
      <c r="C161" s="26" t="str">
        <f t="shared" si="42"/>
        <v/>
      </c>
      <c r="E161" s="27" t="str">
        <f t="shared" si="44"/>
        <v/>
      </c>
      <c r="G161" s="27"/>
    </row>
    <row r="162" spans="1:7" ht="15" customHeight="1" x14ac:dyDescent="0.25">
      <c r="A162" s="28"/>
      <c r="B162" s="28"/>
      <c r="C162" s="26" t="str">
        <f t="shared" si="42"/>
        <v/>
      </c>
      <c r="E162" s="27" t="str">
        <f t="shared" si="44"/>
        <v/>
      </c>
      <c r="G162" s="27"/>
    </row>
    <row r="163" spans="1:7" ht="15" customHeight="1" x14ac:dyDescent="0.25">
      <c r="A163" s="28"/>
      <c r="B163" s="28"/>
      <c r="C163" s="26" t="str">
        <f t="shared" si="42"/>
        <v/>
      </c>
      <c r="E163" s="27" t="str">
        <f t="shared" si="44"/>
        <v/>
      </c>
      <c r="G163" s="27"/>
    </row>
    <row r="164" spans="1:7" ht="15" customHeight="1" x14ac:dyDescent="0.25">
      <c r="A164" s="28"/>
      <c r="B164" s="28"/>
      <c r="C164" s="26" t="str">
        <f t="shared" si="42"/>
        <v/>
      </c>
      <c r="E164" s="27" t="str">
        <f t="shared" si="44"/>
        <v/>
      </c>
      <c r="G164" s="27"/>
    </row>
    <row r="165" spans="1:7" ht="15" customHeight="1" x14ac:dyDescent="0.25">
      <c r="A165" s="28"/>
      <c r="B165" s="28"/>
      <c r="C165" s="26" t="str">
        <f t="shared" si="42"/>
        <v/>
      </c>
      <c r="E165" s="27" t="str">
        <f t="shared" si="44"/>
        <v/>
      </c>
      <c r="G165" s="27"/>
    </row>
    <row r="166" spans="1:7" ht="15" customHeight="1" x14ac:dyDescent="0.25">
      <c r="A166" s="28"/>
      <c r="B166" s="28"/>
      <c r="C166" s="26" t="str">
        <f t="shared" si="42"/>
        <v/>
      </c>
      <c r="E166" s="27" t="str">
        <f t="shared" si="44"/>
        <v/>
      </c>
      <c r="G166" s="27"/>
    </row>
    <row r="167" spans="1:7" ht="15" customHeight="1" x14ac:dyDescent="0.25">
      <c r="A167" s="28"/>
      <c r="B167" s="28"/>
      <c r="C167" s="26" t="str">
        <f t="shared" si="42"/>
        <v/>
      </c>
      <c r="E167" s="27" t="str">
        <f t="shared" si="44"/>
        <v/>
      </c>
      <c r="G167" s="27"/>
    </row>
    <row r="168" spans="1:7" ht="15" customHeight="1" x14ac:dyDescent="0.25">
      <c r="A168" s="28"/>
      <c r="B168" s="28"/>
      <c r="C168" s="26" t="str">
        <f t="shared" si="42"/>
        <v/>
      </c>
      <c r="E168" s="27" t="str">
        <f t="shared" si="44"/>
        <v/>
      </c>
      <c r="G168" s="27"/>
    </row>
    <row r="169" spans="1:7" ht="15" customHeight="1" x14ac:dyDescent="0.25">
      <c r="A169" s="28"/>
      <c r="B169" s="28"/>
      <c r="C169" s="26" t="str">
        <f t="shared" si="42"/>
        <v/>
      </c>
      <c r="E169" s="27" t="str">
        <f t="shared" si="44"/>
        <v/>
      </c>
      <c r="G169" s="27"/>
    </row>
    <row r="170" spans="1:7" ht="15" customHeight="1" x14ac:dyDescent="0.25">
      <c r="A170" s="28"/>
      <c r="B170" s="28"/>
      <c r="C170" s="26" t="str">
        <f t="shared" si="42"/>
        <v/>
      </c>
      <c r="E170" s="27" t="str">
        <f t="shared" si="44"/>
        <v/>
      </c>
      <c r="G170" s="27"/>
    </row>
    <row r="171" spans="1:7" ht="15" customHeight="1" x14ac:dyDescent="0.25">
      <c r="A171" s="28"/>
      <c r="B171" s="28"/>
      <c r="C171" s="26" t="str">
        <f t="shared" si="42"/>
        <v/>
      </c>
      <c r="E171" s="27" t="str">
        <f t="shared" si="44"/>
        <v/>
      </c>
      <c r="G171" s="27"/>
    </row>
    <row r="172" spans="1:7" ht="15" customHeight="1" x14ac:dyDescent="0.25">
      <c r="A172" s="28"/>
      <c r="B172" s="28"/>
      <c r="C172" s="26" t="str">
        <f t="shared" si="42"/>
        <v/>
      </c>
      <c r="E172" s="27" t="str">
        <f t="shared" si="44"/>
        <v/>
      </c>
      <c r="G172" s="27"/>
    </row>
    <row r="173" spans="1:7" ht="15" customHeight="1" x14ac:dyDescent="0.25">
      <c r="A173" s="28"/>
      <c r="B173" s="28"/>
      <c r="C173" s="26" t="str">
        <f t="shared" si="42"/>
        <v/>
      </c>
      <c r="E173" s="27" t="str">
        <f t="shared" si="44"/>
        <v/>
      </c>
      <c r="G173" s="27"/>
    </row>
    <row r="174" spans="1:7" ht="15" customHeight="1" x14ac:dyDescent="0.25">
      <c r="A174" s="28"/>
      <c r="B174" s="28"/>
      <c r="C174" s="26" t="str">
        <f t="shared" si="42"/>
        <v/>
      </c>
      <c r="E174" s="27" t="str">
        <f t="shared" si="44"/>
        <v/>
      </c>
      <c r="G174" s="27"/>
    </row>
    <row r="175" spans="1:7" ht="15" customHeight="1" x14ac:dyDescent="0.25">
      <c r="A175" s="28"/>
      <c r="B175" s="28"/>
      <c r="C175" s="26" t="str">
        <f t="shared" si="42"/>
        <v/>
      </c>
      <c r="E175" s="27" t="str">
        <f t="shared" si="44"/>
        <v/>
      </c>
      <c r="G175" s="27"/>
    </row>
    <row r="176" spans="1:7" ht="15" customHeight="1" x14ac:dyDescent="0.25">
      <c r="A176" s="28"/>
      <c r="B176" s="28"/>
      <c r="C176" s="26" t="str">
        <f t="shared" si="42"/>
        <v/>
      </c>
      <c r="E176" s="27" t="str">
        <f t="shared" si="44"/>
        <v/>
      </c>
      <c r="G176" s="27"/>
    </row>
    <row r="177" spans="1:7" ht="15" customHeight="1" x14ac:dyDescent="0.25">
      <c r="A177" s="28"/>
      <c r="B177" s="28"/>
      <c r="C177" s="26" t="str">
        <f t="shared" ref="C177:C239" si="45">IF(LEN(B177)&gt;1,IF(ISNUMBER(E177),E177,G177),"")</f>
        <v/>
      </c>
      <c r="E177" s="27" t="str">
        <f t="shared" si="44"/>
        <v/>
      </c>
      <c r="G177" s="27"/>
    </row>
    <row r="178" spans="1:7" ht="15" customHeight="1" x14ac:dyDescent="0.25">
      <c r="A178" s="28"/>
      <c r="B178" s="28"/>
      <c r="C178" s="26" t="str">
        <f t="shared" si="45"/>
        <v/>
      </c>
      <c r="E178" s="27" t="str">
        <f t="shared" si="44"/>
        <v/>
      </c>
      <c r="G178" s="27"/>
    </row>
    <row r="179" spans="1:7" ht="15" customHeight="1" x14ac:dyDescent="0.25">
      <c r="A179" s="28"/>
      <c r="B179" s="28"/>
      <c r="C179" s="26" t="str">
        <f t="shared" si="45"/>
        <v/>
      </c>
      <c r="E179" s="27" t="str">
        <f t="shared" ref="E179:E189" si="46">IF(LEN(B179)&gt;1,_FV(A179,"Price"),"")</f>
        <v/>
      </c>
      <c r="G179" s="27"/>
    </row>
    <row r="180" spans="1:7" ht="15" customHeight="1" x14ac:dyDescent="0.25">
      <c r="A180" s="28"/>
      <c r="B180" s="28"/>
      <c r="C180" s="26" t="str">
        <f t="shared" si="45"/>
        <v/>
      </c>
      <c r="E180" s="27" t="str">
        <f t="shared" si="46"/>
        <v/>
      </c>
      <c r="G180" s="27"/>
    </row>
    <row r="181" spans="1:7" ht="15" customHeight="1" x14ac:dyDescent="0.25">
      <c r="A181" s="28"/>
      <c r="B181" s="28"/>
      <c r="C181" s="26" t="str">
        <f t="shared" si="45"/>
        <v/>
      </c>
      <c r="E181" s="27" t="str">
        <f t="shared" si="46"/>
        <v/>
      </c>
      <c r="G181" s="27"/>
    </row>
    <row r="182" spans="1:7" ht="15" customHeight="1" x14ac:dyDescent="0.25">
      <c r="A182" s="28"/>
      <c r="B182" s="28"/>
      <c r="C182" s="26" t="str">
        <f t="shared" si="45"/>
        <v/>
      </c>
      <c r="E182" s="27" t="str">
        <f t="shared" si="46"/>
        <v/>
      </c>
      <c r="G182" s="27"/>
    </row>
    <row r="183" spans="1:7" ht="15" customHeight="1" x14ac:dyDescent="0.25">
      <c r="A183" s="28"/>
      <c r="B183" s="28"/>
      <c r="C183" s="26" t="str">
        <f t="shared" si="45"/>
        <v/>
      </c>
      <c r="E183" s="27" t="str">
        <f t="shared" si="46"/>
        <v/>
      </c>
      <c r="G183" s="27"/>
    </row>
    <row r="184" spans="1:7" ht="15" customHeight="1" x14ac:dyDescent="0.25">
      <c r="A184" s="28"/>
      <c r="B184" s="28"/>
      <c r="C184" s="26" t="str">
        <f t="shared" si="45"/>
        <v/>
      </c>
      <c r="E184" s="27" t="str">
        <f t="shared" si="46"/>
        <v/>
      </c>
      <c r="G184" s="27"/>
    </row>
    <row r="185" spans="1:7" ht="15" customHeight="1" x14ac:dyDescent="0.25">
      <c r="A185" s="28"/>
      <c r="B185" s="28"/>
      <c r="C185" s="26" t="str">
        <f t="shared" si="45"/>
        <v/>
      </c>
      <c r="E185" s="27" t="str">
        <f t="shared" si="46"/>
        <v/>
      </c>
      <c r="G185" s="27"/>
    </row>
    <row r="186" spans="1:7" ht="15" customHeight="1" x14ac:dyDescent="0.25">
      <c r="A186" s="28"/>
      <c r="B186" s="28"/>
      <c r="C186" s="26" t="str">
        <f t="shared" si="45"/>
        <v/>
      </c>
      <c r="E186" s="27" t="str">
        <f t="shared" si="46"/>
        <v/>
      </c>
      <c r="G186" s="27"/>
    </row>
    <row r="187" spans="1:7" ht="15" customHeight="1" x14ac:dyDescent="0.25">
      <c r="A187" s="28"/>
      <c r="B187" s="28"/>
      <c r="C187" s="26" t="str">
        <f t="shared" si="45"/>
        <v/>
      </c>
      <c r="E187" s="27" t="str">
        <f t="shared" si="46"/>
        <v/>
      </c>
      <c r="G187" s="27"/>
    </row>
    <row r="188" spans="1:7" ht="15" customHeight="1" x14ac:dyDescent="0.25">
      <c r="A188" s="28"/>
      <c r="B188" s="28"/>
      <c r="C188" s="26" t="str">
        <f t="shared" si="45"/>
        <v/>
      </c>
      <c r="E188" s="27" t="str">
        <f t="shared" si="46"/>
        <v/>
      </c>
      <c r="G188" s="27"/>
    </row>
    <row r="189" spans="1:7" ht="15" customHeight="1" x14ac:dyDescent="0.25">
      <c r="A189" s="28"/>
      <c r="B189" s="28"/>
      <c r="C189" s="26" t="str">
        <f t="shared" si="45"/>
        <v/>
      </c>
      <c r="E189" s="27" t="str">
        <f t="shared" si="46"/>
        <v/>
      </c>
      <c r="G189" s="27"/>
    </row>
    <row r="190" spans="1:7" ht="15" customHeight="1" x14ac:dyDescent="0.25">
      <c r="A190" s="28"/>
      <c r="B190" s="28"/>
      <c r="C190" s="26" t="str">
        <f t="shared" si="45"/>
        <v/>
      </c>
      <c r="E190" s="27" t="str">
        <f t="shared" ref="E190:E239" si="47">IF(LEN(B190)&gt;1,_FV(A190,"Price"),"")</f>
        <v/>
      </c>
      <c r="G190" s="27"/>
    </row>
    <row r="191" spans="1:7" ht="15" customHeight="1" x14ac:dyDescent="0.25">
      <c r="A191" s="28"/>
      <c r="B191" s="28"/>
      <c r="C191" s="26" t="str">
        <f t="shared" si="45"/>
        <v/>
      </c>
      <c r="E191" s="27" t="str">
        <f t="shared" si="47"/>
        <v/>
      </c>
      <c r="G191" s="27"/>
    </row>
    <row r="192" spans="1:7" ht="15" customHeight="1" x14ac:dyDescent="0.25">
      <c r="A192" s="28"/>
      <c r="B192" s="28"/>
      <c r="C192" s="26" t="str">
        <f t="shared" si="45"/>
        <v/>
      </c>
      <c r="E192" s="27" t="str">
        <f t="shared" si="47"/>
        <v/>
      </c>
      <c r="G192" s="27"/>
    </row>
    <row r="193" spans="1:7" ht="15" customHeight="1" x14ac:dyDescent="0.25">
      <c r="A193" s="28"/>
      <c r="B193" s="28"/>
      <c r="C193" s="26" t="str">
        <f t="shared" si="45"/>
        <v/>
      </c>
      <c r="E193" s="27" t="str">
        <f t="shared" si="47"/>
        <v/>
      </c>
      <c r="G193" s="27"/>
    </row>
    <row r="194" spans="1:7" ht="15" customHeight="1" x14ac:dyDescent="0.25">
      <c r="A194" s="28"/>
      <c r="B194" s="28"/>
      <c r="C194" s="26" t="str">
        <f t="shared" si="45"/>
        <v/>
      </c>
      <c r="E194" s="27" t="str">
        <f t="shared" si="47"/>
        <v/>
      </c>
      <c r="G194" s="27"/>
    </row>
    <row r="195" spans="1:7" ht="15" customHeight="1" x14ac:dyDescent="0.25">
      <c r="A195" s="28"/>
      <c r="B195" s="28"/>
      <c r="C195" s="26" t="str">
        <f t="shared" si="45"/>
        <v/>
      </c>
      <c r="E195" s="27" t="str">
        <f t="shared" si="47"/>
        <v/>
      </c>
      <c r="G195" s="27"/>
    </row>
    <row r="196" spans="1:7" ht="15" customHeight="1" x14ac:dyDescent="0.25">
      <c r="A196" s="28"/>
      <c r="B196" s="28"/>
      <c r="C196" s="26" t="str">
        <f t="shared" si="45"/>
        <v/>
      </c>
      <c r="E196" s="27" t="str">
        <f t="shared" si="47"/>
        <v/>
      </c>
      <c r="G196" s="27"/>
    </row>
    <row r="197" spans="1:7" ht="15" customHeight="1" x14ac:dyDescent="0.25">
      <c r="A197" s="28"/>
      <c r="B197" s="28"/>
      <c r="C197" s="26" t="str">
        <f t="shared" si="45"/>
        <v/>
      </c>
      <c r="E197" s="27" t="str">
        <f t="shared" si="47"/>
        <v/>
      </c>
      <c r="G197" s="27"/>
    </row>
    <row r="198" spans="1:7" ht="15" customHeight="1" x14ac:dyDescent="0.25">
      <c r="A198" s="28"/>
      <c r="B198" s="28"/>
      <c r="C198" s="26" t="str">
        <f t="shared" si="45"/>
        <v/>
      </c>
      <c r="E198" s="27" t="str">
        <f t="shared" si="47"/>
        <v/>
      </c>
      <c r="G198" s="27"/>
    </row>
    <row r="199" spans="1:7" ht="15" customHeight="1" x14ac:dyDescent="0.25">
      <c r="A199" s="28"/>
      <c r="B199" s="28"/>
      <c r="C199" s="26" t="str">
        <f t="shared" si="45"/>
        <v/>
      </c>
      <c r="E199" s="27" t="str">
        <f t="shared" si="47"/>
        <v/>
      </c>
      <c r="G199" s="27"/>
    </row>
    <row r="200" spans="1:7" ht="15" customHeight="1" x14ac:dyDescent="0.25">
      <c r="A200" s="28"/>
      <c r="B200" s="28"/>
      <c r="C200" s="26" t="str">
        <f t="shared" si="45"/>
        <v/>
      </c>
      <c r="E200" s="27" t="str">
        <f t="shared" si="47"/>
        <v/>
      </c>
      <c r="G200" s="27"/>
    </row>
    <row r="201" spans="1:7" ht="15" customHeight="1" x14ac:dyDescent="0.25">
      <c r="A201" s="28"/>
      <c r="B201" s="28"/>
      <c r="C201" s="26" t="str">
        <f t="shared" si="45"/>
        <v/>
      </c>
      <c r="E201" s="27" t="str">
        <f t="shared" si="47"/>
        <v/>
      </c>
      <c r="G201" s="27"/>
    </row>
    <row r="202" spans="1:7" ht="15" customHeight="1" x14ac:dyDescent="0.25">
      <c r="A202" s="28"/>
      <c r="B202" s="28"/>
      <c r="C202" s="26" t="str">
        <f t="shared" si="45"/>
        <v/>
      </c>
      <c r="E202" s="27" t="str">
        <f t="shared" si="47"/>
        <v/>
      </c>
      <c r="G202" s="27"/>
    </row>
    <row r="203" spans="1:7" ht="15" customHeight="1" x14ac:dyDescent="0.25">
      <c r="A203" s="28"/>
      <c r="B203" s="28"/>
      <c r="C203" s="26" t="str">
        <f t="shared" si="45"/>
        <v/>
      </c>
      <c r="E203" s="27" t="str">
        <f t="shared" si="47"/>
        <v/>
      </c>
      <c r="G203" s="27"/>
    </row>
    <row r="204" spans="1:7" ht="15" customHeight="1" x14ac:dyDescent="0.25">
      <c r="A204" s="28"/>
      <c r="B204" s="28"/>
      <c r="C204" s="26" t="str">
        <f t="shared" si="45"/>
        <v/>
      </c>
      <c r="E204" s="27" t="str">
        <f t="shared" si="47"/>
        <v/>
      </c>
      <c r="G204" s="27"/>
    </row>
    <row r="205" spans="1:7" ht="15" customHeight="1" x14ac:dyDescent="0.25">
      <c r="A205" s="28"/>
      <c r="B205" s="28"/>
      <c r="C205" s="26" t="str">
        <f t="shared" si="45"/>
        <v/>
      </c>
      <c r="E205" s="27" t="str">
        <f t="shared" si="47"/>
        <v/>
      </c>
      <c r="G205" s="27"/>
    </row>
    <row r="206" spans="1:7" ht="15" customHeight="1" x14ac:dyDescent="0.25">
      <c r="A206" s="28"/>
      <c r="B206" s="28"/>
      <c r="C206" s="26" t="str">
        <f t="shared" si="45"/>
        <v/>
      </c>
      <c r="E206" s="27" t="str">
        <f t="shared" si="47"/>
        <v/>
      </c>
      <c r="G206" s="27"/>
    </row>
    <row r="207" spans="1:7" ht="15" customHeight="1" x14ac:dyDescent="0.25">
      <c r="A207" s="28"/>
      <c r="B207" s="28"/>
      <c r="C207" s="26" t="str">
        <f t="shared" si="45"/>
        <v/>
      </c>
      <c r="E207" s="27" t="str">
        <f t="shared" si="47"/>
        <v/>
      </c>
      <c r="G207" s="27"/>
    </row>
    <row r="208" spans="1:7" ht="15" customHeight="1" x14ac:dyDescent="0.25">
      <c r="A208" s="28"/>
      <c r="B208" s="28"/>
      <c r="C208" s="26" t="str">
        <f t="shared" si="45"/>
        <v/>
      </c>
      <c r="E208" s="27" t="str">
        <f t="shared" si="47"/>
        <v/>
      </c>
      <c r="G208" s="27"/>
    </row>
    <row r="209" spans="1:7" ht="15" customHeight="1" x14ac:dyDescent="0.25">
      <c r="A209" s="28"/>
      <c r="B209" s="28"/>
      <c r="C209" s="26" t="str">
        <f t="shared" si="45"/>
        <v/>
      </c>
      <c r="E209" s="27" t="str">
        <f t="shared" si="47"/>
        <v/>
      </c>
      <c r="G209" s="27"/>
    </row>
    <row r="210" spans="1:7" ht="15" customHeight="1" x14ac:dyDescent="0.25">
      <c r="A210" s="28"/>
      <c r="B210" s="28"/>
      <c r="C210" s="26" t="str">
        <f t="shared" si="45"/>
        <v/>
      </c>
      <c r="E210" s="27" t="str">
        <f t="shared" si="47"/>
        <v/>
      </c>
      <c r="G210" s="27"/>
    </row>
    <row r="211" spans="1:7" ht="15" customHeight="1" x14ac:dyDescent="0.25">
      <c r="A211" s="28"/>
      <c r="B211" s="28"/>
      <c r="C211" s="26" t="str">
        <f t="shared" si="45"/>
        <v/>
      </c>
      <c r="E211" s="27" t="str">
        <f t="shared" si="47"/>
        <v/>
      </c>
      <c r="G211" s="27"/>
    </row>
    <row r="212" spans="1:7" ht="15" customHeight="1" x14ac:dyDescent="0.25">
      <c r="A212" s="28"/>
      <c r="B212" s="28"/>
      <c r="C212" s="26" t="str">
        <f t="shared" si="45"/>
        <v/>
      </c>
      <c r="E212" s="27" t="str">
        <f t="shared" si="47"/>
        <v/>
      </c>
      <c r="G212" s="27"/>
    </row>
    <row r="213" spans="1:7" ht="15" customHeight="1" x14ac:dyDescent="0.25">
      <c r="A213" s="28"/>
      <c r="B213" s="28"/>
      <c r="C213" s="26" t="str">
        <f t="shared" si="45"/>
        <v/>
      </c>
      <c r="E213" s="27" t="str">
        <f t="shared" si="47"/>
        <v/>
      </c>
      <c r="G213" s="27"/>
    </row>
    <row r="214" spans="1:7" ht="15" customHeight="1" x14ac:dyDescent="0.25">
      <c r="A214" s="28"/>
      <c r="B214" s="28"/>
      <c r="C214" s="26" t="str">
        <f t="shared" si="45"/>
        <v/>
      </c>
      <c r="E214" s="27" t="str">
        <f t="shared" si="47"/>
        <v/>
      </c>
      <c r="G214" s="27"/>
    </row>
    <row r="215" spans="1:7" ht="15" customHeight="1" x14ac:dyDescent="0.25">
      <c r="A215" s="28"/>
      <c r="B215" s="28"/>
      <c r="C215" s="26" t="str">
        <f t="shared" si="45"/>
        <v/>
      </c>
      <c r="E215" s="27" t="str">
        <f t="shared" si="47"/>
        <v/>
      </c>
      <c r="G215" s="27"/>
    </row>
    <row r="216" spans="1:7" ht="15" customHeight="1" x14ac:dyDescent="0.25">
      <c r="A216" s="28"/>
      <c r="B216" s="28"/>
      <c r="C216" s="26" t="str">
        <f t="shared" si="45"/>
        <v/>
      </c>
      <c r="E216" s="27" t="str">
        <f t="shared" si="47"/>
        <v/>
      </c>
      <c r="G216" s="27"/>
    </row>
    <row r="217" spans="1:7" ht="15" customHeight="1" x14ac:dyDescent="0.25">
      <c r="A217" s="28"/>
      <c r="B217" s="28"/>
      <c r="C217" s="26" t="str">
        <f t="shared" si="45"/>
        <v/>
      </c>
      <c r="E217" s="27" t="str">
        <f t="shared" si="47"/>
        <v/>
      </c>
      <c r="G217" s="27"/>
    </row>
    <row r="218" spans="1:7" ht="15" customHeight="1" x14ac:dyDescent="0.25">
      <c r="A218" s="28"/>
      <c r="B218" s="28"/>
      <c r="C218" s="26" t="str">
        <f t="shared" si="45"/>
        <v/>
      </c>
      <c r="E218" s="27" t="str">
        <f t="shared" si="47"/>
        <v/>
      </c>
      <c r="G218" s="27"/>
    </row>
    <row r="219" spans="1:7" ht="15" customHeight="1" x14ac:dyDescent="0.25">
      <c r="A219" s="28"/>
      <c r="B219" s="28"/>
      <c r="C219" s="26" t="str">
        <f t="shared" si="45"/>
        <v/>
      </c>
      <c r="E219" s="27" t="str">
        <f t="shared" si="47"/>
        <v/>
      </c>
      <c r="G219" s="27"/>
    </row>
    <row r="220" spans="1:7" ht="15" customHeight="1" x14ac:dyDescent="0.25">
      <c r="A220" s="28"/>
      <c r="B220" s="28"/>
      <c r="C220" s="26" t="str">
        <f t="shared" si="45"/>
        <v/>
      </c>
      <c r="E220" s="27" t="str">
        <f t="shared" si="47"/>
        <v/>
      </c>
      <c r="G220" s="27"/>
    </row>
    <row r="221" spans="1:7" ht="15" customHeight="1" x14ac:dyDescent="0.25">
      <c r="A221" s="28"/>
      <c r="B221" s="28"/>
      <c r="C221" s="26" t="str">
        <f t="shared" si="45"/>
        <v/>
      </c>
      <c r="E221" s="27" t="str">
        <f t="shared" si="47"/>
        <v/>
      </c>
      <c r="G221" s="27"/>
    </row>
    <row r="222" spans="1:7" ht="15" customHeight="1" x14ac:dyDescent="0.25">
      <c r="A222" s="28"/>
      <c r="B222" s="28"/>
      <c r="C222" s="26" t="str">
        <f t="shared" si="45"/>
        <v/>
      </c>
      <c r="E222" s="27" t="str">
        <f t="shared" si="47"/>
        <v/>
      </c>
      <c r="G222" s="27"/>
    </row>
    <row r="223" spans="1:7" ht="15" customHeight="1" x14ac:dyDescent="0.25">
      <c r="A223" s="28"/>
      <c r="B223" s="28"/>
      <c r="C223" s="26" t="str">
        <f t="shared" si="45"/>
        <v/>
      </c>
      <c r="E223" s="27" t="str">
        <f t="shared" si="47"/>
        <v/>
      </c>
      <c r="G223" s="27"/>
    </row>
    <row r="224" spans="1:7" ht="15" customHeight="1" x14ac:dyDescent="0.25">
      <c r="A224" s="28"/>
      <c r="B224" s="28"/>
      <c r="C224" s="26" t="str">
        <f t="shared" si="45"/>
        <v/>
      </c>
      <c r="E224" s="27" t="str">
        <f t="shared" si="47"/>
        <v/>
      </c>
      <c r="G224" s="27"/>
    </row>
    <row r="225" spans="1:7" ht="15" customHeight="1" x14ac:dyDescent="0.25">
      <c r="A225" s="28"/>
      <c r="B225" s="28"/>
      <c r="C225" s="26" t="str">
        <f t="shared" si="45"/>
        <v/>
      </c>
      <c r="E225" s="27" t="str">
        <f t="shared" si="47"/>
        <v/>
      </c>
      <c r="G225" s="27"/>
    </row>
    <row r="226" spans="1:7" ht="15" customHeight="1" x14ac:dyDescent="0.25">
      <c r="A226" s="28"/>
      <c r="B226" s="28"/>
      <c r="C226" s="26" t="str">
        <f t="shared" si="45"/>
        <v/>
      </c>
      <c r="E226" s="27" t="str">
        <f t="shared" si="47"/>
        <v/>
      </c>
      <c r="G226" s="27"/>
    </row>
    <row r="227" spans="1:7" ht="15" customHeight="1" x14ac:dyDescent="0.25">
      <c r="A227" s="28"/>
      <c r="B227" s="28"/>
      <c r="C227" s="26" t="str">
        <f t="shared" si="45"/>
        <v/>
      </c>
      <c r="E227" s="27" t="str">
        <f t="shared" si="47"/>
        <v/>
      </c>
      <c r="G227" s="27"/>
    </row>
    <row r="228" spans="1:7" ht="15" customHeight="1" x14ac:dyDescent="0.25">
      <c r="A228" s="28"/>
      <c r="B228" s="28"/>
      <c r="C228" s="26" t="str">
        <f t="shared" si="45"/>
        <v/>
      </c>
      <c r="E228" s="27" t="str">
        <f t="shared" si="47"/>
        <v/>
      </c>
      <c r="G228" s="27"/>
    </row>
    <row r="229" spans="1:7" ht="15" customHeight="1" x14ac:dyDescent="0.25">
      <c r="A229" s="28"/>
      <c r="B229" s="28"/>
      <c r="C229" s="26" t="str">
        <f t="shared" si="45"/>
        <v/>
      </c>
      <c r="E229" s="27" t="str">
        <f t="shared" si="47"/>
        <v/>
      </c>
      <c r="G229" s="27"/>
    </row>
    <row r="230" spans="1:7" ht="15" customHeight="1" x14ac:dyDescent="0.25">
      <c r="A230" s="28"/>
      <c r="B230" s="28"/>
      <c r="C230" s="26" t="str">
        <f t="shared" si="45"/>
        <v/>
      </c>
      <c r="E230" s="27" t="str">
        <f t="shared" si="47"/>
        <v/>
      </c>
      <c r="G230" s="27"/>
    </row>
    <row r="231" spans="1:7" ht="15" customHeight="1" x14ac:dyDescent="0.25">
      <c r="A231" s="28"/>
      <c r="B231" s="28"/>
      <c r="C231" s="26" t="str">
        <f t="shared" si="45"/>
        <v/>
      </c>
      <c r="E231" s="27" t="str">
        <f t="shared" si="47"/>
        <v/>
      </c>
      <c r="G231" s="27"/>
    </row>
    <row r="232" spans="1:7" ht="15" customHeight="1" x14ac:dyDescent="0.25">
      <c r="A232" s="28"/>
      <c r="B232" s="28"/>
      <c r="C232" s="26" t="str">
        <f t="shared" si="45"/>
        <v/>
      </c>
      <c r="E232" s="27" t="str">
        <f t="shared" si="47"/>
        <v/>
      </c>
      <c r="G232" s="27"/>
    </row>
    <row r="233" spans="1:7" ht="15" customHeight="1" x14ac:dyDescent="0.25">
      <c r="A233" s="28"/>
      <c r="B233" s="28"/>
      <c r="C233" s="26" t="str">
        <f t="shared" si="45"/>
        <v/>
      </c>
      <c r="E233" s="27" t="str">
        <f t="shared" si="47"/>
        <v/>
      </c>
      <c r="G233" s="27"/>
    </row>
    <row r="234" spans="1:7" ht="15" customHeight="1" x14ac:dyDescent="0.25">
      <c r="A234" s="28"/>
      <c r="B234" s="28"/>
      <c r="C234" s="26" t="str">
        <f t="shared" si="45"/>
        <v/>
      </c>
      <c r="E234" s="27" t="str">
        <f t="shared" si="47"/>
        <v/>
      </c>
      <c r="G234" s="27"/>
    </row>
    <row r="235" spans="1:7" ht="15" customHeight="1" x14ac:dyDescent="0.25">
      <c r="A235" s="28"/>
      <c r="B235" s="28"/>
      <c r="C235" s="26" t="str">
        <f t="shared" si="45"/>
        <v/>
      </c>
      <c r="E235" s="27" t="str">
        <f t="shared" si="47"/>
        <v/>
      </c>
      <c r="G235" s="27"/>
    </row>
    <row r="236" spans="1:7" ht="15" customHeight="1" x14ac:dyDescent="0.25">
      <c r="A236" s="28"/>
      <c r="B236" s="28"/>
      <c r="C236" s="26" t="str">
        <f t="shared" si="45"/>
        <v/>
      </c>
      <c r="E236" s="27" t="str">
        <f t="shared" si="47"/>
        <v/>
      </c>
      <c r="G236" s="27"/>
    </row>
    <row r="237" spans="1:7" ht="15" customHeight="1" x14ac:dyDescent="0.25">
      <c r="A237" s="28"/>
      <c r="B237" s="28"/>
      <c r="C237" s="26" t="str">
        <f t="shared" si="45"/>
        <v/>
      </c>
      <c r="E237" s="27" t="str">
        <f t="shared" si="47"/>
        <v/>
      </c>
      <c r="G237" s="27"/>
    </row>
    <row r="238" spans="1:7" ht="15" customHeight="1" x14ac:dyDescent="0.25">
      <c r="A238" s="28"/>
      <c r="B238" s="28"/>
      <c r="C238" s="26" t="str">
        <f t="shared" si="45"/>
        <v/>
      </c>
      <c r="E238" s="27" t="str">
        <f t="shared" si="47"/>
        <v/>
      </c>
      <c r="G238" s="27"/>
    </row>
    <row r="239" spans="1:7" ht="15" customHeight="1" x14ac:dyDescent="0.25">
      <c r="A239" s="28"/>
      <c r="B239" s="28"/>
      <c r="C239" s="26" t="str">
        <f t="shared" si="45"/>
        <v/>
      </c>
      <c r="E239" s="27" t="str">
        <f t="shared" si="47"/>
        <v/>
      </c>
      <c r="G239" s="27"/>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274A5-7F58-45CA-B45C-6183DCB12103}">
  <sheetPr codeName="Planilha10"/>
  <dimension ref="A1:L2049"/>
  <sheetViews>
    <sheetView showGridLines="0" workbookViewId="0">
      <selection activeCell="G6" sqref="G6"/>
    </sheetView>
  </sheetViews>
  <sheetFormatPr defaultRowHeight="15" x14ac:dyDescent="0.25"/>
  <cols>
    <col min="1" max="1" width="9.42578125" style="1" customWidth="1"/>
    <col min="2" max="2" width="9.85546875" style="1" bestFit="1" customWidth="1"/>
    <col min="3" max="3" width="12.42578125" style="145" customWidth="1"/>
    <col min="4" max="4" width="14.85546875" style="148" customWidth="1"/>
    <col min="5" max="5" width="3" customWidth="1"/>
    <col min="6" max="6" width="3" style="153" customWidth="1"/>
    <col min="7" max="7" width="9.42578125" bestFit="1" customWidth="1"/>
    <col min="8" max="9" width="10.7109375" bestFit="1" customWidth="1"/>
    <col min="10" max="10" width="14" bestFit="1" customWidth="1"/>
    <col min="11" max="11" width="11.140625" bestFit="1" customWidth="1"/>
    <col min="12" max="12" width="11.140625" customWidth="1"/>
  </cols>
  <sheetData>
    <row r="1" spans="1:12" ht="32.25" customHeight="1" x14ac:dyDescent="0.25">
      <c r="A1" s="246" t="s">
        <v>2383</v>
      </c>
      <c r="B1" s="247"/>
      <c r="C1" s="247"/>
      <c r="D1" s="247"/>
      <c r="E1" s="149"/>
      <c r="F1" s="154"/>
      <c r="G1" s="149"/>
      <c r="I1" s="245" t="s">
        <v>2376</v>
      </c>
      <c r="J1" s="245"/>
    </row>
    <row r="2" spans="1:12" ht="36" x14ac:dyDescent="0.25">
      <c r="A2" s="152" t="s">
        <v>3</v>
      </c>
      <c r="B2" s="152" t="s">
        <v>35</v>
      </c>
      <c r="C2" s="152" t="s">
        <v>2377</v>
      </c>
      <c r="D2" s="152" t="s">
        <v>2378</v>
      </c>
      <c r="E2" s="149"/>
      <c r="F2" s="154"/>
      <c r="G2" s="150" t="s">
        <v>2379</v>
      </c>
      <c r="H2" s="144">
        <v>45292</v>
      </c>
      <c r="I2" s="245"/>
      <c r="J2" s="245"/>
    </row>
    <row r="3" spans="1:12" x14ac:dyDescent="0.25">
      <c r="D3" s="146"/>
      <c r="E3" s="147">
        <f>DATE(YEAR(D3),MONTH(D3),1)</f>
        <v>1</v>
      </c>
      <c r="F3" s="155" cm="1">
        <f t="array" aca="1" ref="F3" ca="1">IFERROR(_xlfn.STOCKHISTORY("USD/BRL",E3,E3,0,0,1),Preços!$C$3)</f>
        <v>6.1798000000000002</v>
      </c>
    </row>
    <row r="4" spans="1:12" x14ac:dyDescent="0.25">
      <c r="E4" s="147" t="e">
        <f>DATE(YEAR(#REF!),MONTH(#REF!),1)</f>
        <v>#REF!</v>
      </c>
      <c r="F4" s="155" cm="1">
        <f t="array" aca="1" ref="F4" ca="1">IFERROR(_xlfn.STOCKHISTORY("USD/BRL",E4,E4,0,0,1),Preços!$C$3)</f>
        <v>6.1798000000000002</v>
      </c>
      <c r="G4" s="1" t="s">
        <v>2380</v>
      </c>
      <c r="H4" s="1" t="s">
        <v>18</v>
      </c>
      <c r="I4" s="1" t="s">
        <v>2381</v>
      </c>
      <c r="J4" s="1" t="s">
        <v>2384</v>
      </c>
      <c r="K4" s="1" t="s">
        <v>2382</v>
      </c>
      <c r="L4" s="1"/>
    </row>
    <row r="5" spans="1:12" x14ac:dyDescent="0.25">
      <c r="E5" s="147" t="e">
        <f>DATE(YEAR(#REF!),MONTH(#REF!),1)</f>
        <v>#REF!</v>
      </c>
      <c r="F5" s="155" cm="1">
        <f t="array" aca="1" ref="F5" ca="1">IFERROR(_xlfn.STOCKHISTORY("USD/BRL",E5,E5,0,0,1),Preços!$C$3)</f>
        <v>6.1798000000000002</v>
      </c>
      <c r="G5" s="151">
        <v>45658</v>
      </c>
      <c r="H5" s="145">
        <f>SUMIFS($C:$C,$E:$E,$G5,$B:$B,H$4)</f>
        <v>0</v>
      </c>
      <c r="I5" s="145">
        <f>SUMIFS($C:$C,$E:$E,$G5,$B:$B,I$4)</f>
        <v>0</v>
      </c>
      <c r="J5" s="145">
        <f>SUMIFS($C:$C,$E:$E,$G5,$B:$B,J$4)</f>
        <v>0</v>
      </c>
      <c r="K5" s="145">
        <f t="shared" ref="K5:K48" si="0">SUM(H5:J5)</f>
        <v>0</v>
      </c>
      <c r="L5" s="145"/>
    </row>
    <row r="6" spans="1:12" x14ac:dyDescent="0.25">
      <c r="E6" s="147" t="e">
        <f>DATE(YEAR(#REF!),MONTH(#REF!),1)</f>
        <v>#REF!</v>
      </c>
      <c r="F6" s="155" cm="1">
        <f t="array" aca="1" ref="F6" ca="1">IFERROR(_xlfn.STOCKHISTORY("USD/BRL",E6,E6,0,0,1),Preços!$C$3)</f>
        <v>6.1798000000000002</v>
      </c>
      <c r="G6" s="151"/>
      <c r="H6" s="145">
        <f>SUMIFS($C:$C,$E:$E,$G6,$B:$B,H$4)</f>
        <v>0</v>
      </c>
      <c r="I6" s="145">
        <f>SUMIFS($C:$C,$E:$E,$G6,$B:$B,I$4)</f>
        <v>0</v>
      </c>
      <c r="J6" s="145">
        <f>SUMIFS($C:$C,$E:$E,$G6,$B:$B,J$4)</f>
        <v>0</v>
      </c>
      <c r="K6" s="145">
        <f t="shared" si="0"/>
        <v>0</v>
      </c>
      <c r="L6" s="145"/>
    </row>
    <row r="7" spans="1:12" x14ac:dyDescent="0.25">
      <c r="E7" s="147" t="e">
        <f>DATE(YEAR(#REF!),MONTH(#REF!),1)</f>
        <v>#REF!</v>
      </c>
      <c r="F7" s="155" cm="1">
        <f t="array" aca="1" ref="F7" ca="1">IFERROR(_xlfn.STOCKHISTORY("USD/BRL",E7,E7,0,0,1),Preços!$C$3)</f>
        <v>6.1798000000000002</v>
      </c>
      <c r="G7" s="151"/>
      <c r="H7" s="145">
        <f>SUMIFS($C:$C,$E:$E,$G7,$B:$B,H$4)</f>
        <v>0</v>
      </c>
      <c r="I7" s="145">
        <f>SUMIFS($C:$C,$E:$E,$G7,$B:$B,I$4)</f>
        <v>0</v>
      </c>
      <c r="J7" s="145">
        <f>SUMIFS($C:$C,$E:$E,$G7,$B:$B,J$4)</f>
        <v>0</v>
      </c>
      <c r="K7" s="145">
        <f t="shared" si="0"/>
        <v>0</v>
      </c>
      <c r="L7" s="145"/>
    </row>
    <row r="8" spans="1:12" x14ac:dyDescent="0.25">
      <c r="E8" s="147" t="e">
        <f>DATE(YEAR(#REF!),MONTH(#REF!),1)</f>
        <v>#REF!</v>
      </c>
      <c r="F8" s="155" cm="1">
        <f t="array" aca="1" ref="F8" ca="1">IFERROR(_xlfn.STOCKHISTORY("USD/BRL",E8,E8,0,0,1),Preços!$C$3)</f>
        <v>6.1798000000000002</v>
      </c>
      <c r="G8" s="151"/>
      <c r="H8" s="145">
        <f>SUMIFS($C:$C,$E:$E,$G8,$B:$B,H$4)</f>
        <v>0</v>
      </c>
      <c r="I8" s="145">
        <f>SUMIFS($C:$C,$E:$E,$G8,$B:$B,I$4)</f>
        <v>0</v>
      </c>
      <c r="J8" s="145">
        <f>SUMIFS($C:$C,$E:$E,$G8,$B:$B,J$4)</f>
        <v>0</v>
      </c>
      <c r="K8" s="145">
        <f t="shared" si="0"/>
        <v>0</v>
      </c>
      <c r="L8" s="145"/>
    </row>
    <row r="9" spans="1:12" x14ac:dyDescent="0.25">
      <c r="E9" s="147" t="e">
        <f>DATE(YEAR(#REF!),MONTH(#REF!),1)</f>
        <v>#REF!</v>
      </c>
      <c r="F9" s="155" cm="1">
        <f t="array" aca="1" ref="F9" ca="1">IFERROR(_xlfn.STOCKHISTORY("USD/BRL",E9,E9,0,0,1),Preços!$C$3)</f>
        <v>6.1798000000000002</v>
      </c>
      <c r="G9" s="151"/>
      <c r="H9" s="145">
        <f>SUMIFS($C:$C,$E:$E,$G9,$B:$B,H$4)</f>
        <v>0</v>
      </c>
      <c r="I9" s="145">
        <f>SUMIFS($C:$C,$E:$E,$G9,$B:$B,I$4)</f>
        <v>0</v>
      </c>
      <c r="J9" s="145">
        <f>SUMIFS($C:$C,$E:$E,$G9,$B:$B,J$4)</f>
        <v>0</v>
      </c>
      <c r="K9" s="145">
        <f t="shared" si="0"/>
        <v>0</v>
      </c>
      <c r="L9" s="145"/>
    </row>
    <row r="10" spans="1:12" x14ac:dyDescent="0.25">
      <c r="E10" s="147" t="e">
        <f>DATE(YEAR(#REF!),MONTH(#REF!),1)</f>
        <v>#REF!</v>
      </c>
      <c r="F10" s="155" cm="1">
        <f t="array" aca="1" ref="F10" ca="1">IFERROR(_xlfn.STOCKHISTORY("USD/BRL",E10,E10,0,0,1),Preços!$C$3)</f>
        <v>6.1798000000000002</v>
      </c>
      <c r="G10" s="151"/>
      <c r="H10" s="145">
        <f>SUMIFS($C:$C,$E:$E,$G10,$B:$B,H$4)</f>
        <v>0</v>
      </c>
      <c r="I10" s="145">
        <f>SUMIFS($C:$C,$E:$E,$G10,$B:$B,I$4)</f>
        <v>0</v>
      </c>
      <c r="J10" s="145">
        <f>SUMIFS($C:$C,$E:$E,$G10,$B:$B,J$4)</f>
        <v>0</v>
      </c>
      <c r="K10" s="145">
        <f t="shared" si="0"/>
        <v>0</v>
      </c>
      <c r="L10" s="145"/>
    </row>
    <row r="11" spans="1:12" x14ac:dyDescent="0.25">
      <c r="E11" s="147" t="e">
        <f>DATE(YEAR(#REF!),MONTH(#REF!),1)</f>
        <v>#REF!</v>
      </c>
      <c r="F11" s="155" cm="1">
        <f t="array" aca="1" ref="F11" ca="1">IFERROR(_xlfn.STOCKHISTORY("USD/BRL",E11,E11,0,0,1),Preços!$C$3)</f>
        <v>6.1798000000000002</v>
      </c>
      <c r="G11" s="151"/>
      <c r="H11" s="145">
        <f>SUMIFS($C:$C,$E:$E,$G11,$B:$B,H$4)</f>
        <v>0</v>
      </c>
      <c r="I11" s="145">
        <f>SUMIFS($C:$C,$E:$E,$G11,$B:$B,I$4)</f>
        <v>0</v>
      </c>
      <c r="J11" s="145">
        <f>SUMIFS($C:$C,$E:$E,$G11,$B:$B,J$4)</f>
        <v>0</v>
      </c>
      <c r="K11" s="145">
        <f t="shared" si="0"/>
        <v>0</v>
      </c>
      <c r="L11" s="145"/>
    </row>
    <row r="12" spans="1:12" x14ac:dyDescent="0.25">
      <c r="E12" s="147" t="e">
        <f>DATE(YEAR(#REF!),MONTH(#REF!),1)</f>
        <v>#REF!</v>
      </c>
      <c r="F12" s="155" cm="1">
        <f t="array" aca="1" ref="F12" ca="1">IFERROR(_xlfn.STOCKHISTORY("USD/BRL",E12,E12,0,0,1),Preços!$C$3)</f>
        <v>6.1798000000000002</v>
      </c>
      <c r="G12" s="151"/>
      <c r="H12" s="145">
        <f>SUMIFS($C:$C,$E:$E,$G12,$B:$B,H$4)</f>
        <v>0</v>
      </c>
      <c r="I12" s="145">
        <f>SUMIFS($C:$C,$E:$E,$G12,$B:$B,I$4)</f>
        <v>0</v>
      </c>
      <c r="J12" s="145">
        <f>SUMIFS($C:$C,$E:$E,$G12,$B:$B,J$4)</f>
        <v>0</v>
      </c>
      <c r="K12" s="145">
        <f t="shared" si="0"/>
        <v>0</v>
      </c>
      <c r="L12" s="145"/>
    </row>
    <row r="13" spans="1:12" x14ac:dyDescent="0.25">
      <c r="E13" s="147" t="e">
        <f>DATE(YEAR(#REF!),MONTH(#REF!),1)</f>
        <v>#REF!</v>
      </c>
      <c r="F13" s="155" cm="1">
        <f t="array" aca="1" ref="F13" ca="1">IFERROR(_xlfn.STOCKHISTORY("USD/BRL",E13,E13,0,0,1),Preços!$C$3)</f>
        <v>6.1798000000000002</v>
      </c>
      <c r="G13" s="151"/>
      <c r="H13" s="145">
        <f>SUMIFS($C:$C,$E:$E,$G13,$B:$B,H$4)</f>
        <v>0</v>
      </c>
      <c r="I13" s="145">
        <f>SUMIFS($C:$C,$E:$E,$G13,$B:$B,I$4)</f>
        <v>0</v>
      </c>
      <c r="J13" s="145">
        <f>SUMIFS($C:$C,$E:$E,$G13,$B:$B,J$4)</f>
        <v>0</v>
      </c>
      <c r="K13" s="145">
        <f t="shared" si="0"/>
        <v>0</v>
      </c>
      <c r="L13" s="145"/>
    </row>
    <row r="14" spans="1:12" x14ac:dyDescent="0.25">
      <c r="E14" s="147" t="e">
        <f>DATE(YEAR(#REF!),MONTH(#REF!),1)</f>
        <v>#REF!</v>
      </c>
      <c r="F14" s="155" cm="1">
        <f t="array" aca="1" ref="F14" ca="1">IFERROR(_xlfn.STOCKHISTORY("USD/BRL",E14,E14,0,0,1),Preços!$C$3)</f>
        <v>6.1798000000000002</v>
      </c>
      <c r="G14" s="151"/>
      <c r="H14" s="145">
        <f>SUMIFS($C:$C,$E:$E,$G14,$B:$B,H$4)</f>
        <v>0</v>
      </c>
      <c r="I14" s="145">
        <f>SUMIFS($C:$C,$E:$E,$G14,$B:$B,I$4)</f>
        <v>0</v>
      </c>
      <c r="J14" s="145">
        <f>SUMIFS($C:$C,$E:$E,$G14,$B:$B,J$4)</f>
        <v>0</v>
      </c>
      <c r="K14" s="145">
        <f t="shared" si="0"/>
        <v>0</v>
      </c>
      <c r="L14" s="145"/>
    </row>
    <row r="15" spans="1:12" x14ac:dyDescent="0.25">
      <c r="E15" s="147" t="e">
        <f>DATE(YEAR(#REF!),MONTH(#REF!),1)</f>
        <v>#REF!</v>
      </c>
      <c r="F15" s="155" cm="1">
        <f t="array" aca="1" ref="F15" ca="1">IFERROR(_xlfn.STOCKHISTORY("USD/BRL",E15,E15,0,0,1),Preços!$C$3)</f>
        <v>6.1798000000000002</v>
      </c>
      <c r="G15" s="151"/>
      <c r="H15" s="145">
        <f>SUMIFS($C:$C,$E:$E,$G15,$B:$B,H$4)</f>
        <v>0</v>
      </c>
      <c r="I15" s="145">
        <f>SUMIFS($C:$C,$E:$E,$G15,$B:$B,I$4)</f>
        <v>0</v>
      </c>
      <c r="J15" s="145">
        <f>SUMIFS($C:$C,$E:$E,$G15,$B:$B,J$4)</f>
        <v>0</v>
      </c>
      <c r="K15" s="145">
        <f t="shared" si="0"/>
        <v>0</v>
      </c>
      <c r="L15" s="145"/>
    </row>
    <row r="16" spans="1:12" x14ac:dyDescent="0.25">
      <c r="E16" s="147" t="e">
        <f>DATE(YEAR(#REF!),MONTH(#REF!),1)</f>
        <v>#REF!</v>
      </c>
      <c r="F16" s="155" cm="1">
        <f t="array" aca="1" ref="F16" ca="1">IFERROR(_xlfn.STOCKHISTORY("USD/BRL",E16,E16,0,0,1),Preços!$C$3)</f>
        <v>6.1798000000000002</v>
      </c>
      <c r="G16" s="151"/>
      <c r="H16" s="145">
        <f>SUMIFS($C:$C,$E:$E,$G16,$B:$B,H$4)</f>
        <v>0</v>
      </c>
      <c r="I16" s="145">
        <f>SUMIFS($C:$C,$E:$E,$G16,$B:$B,I$4)</f>
        <v>0</v>
      </c>
      <c r="J16" s="145">
        <f>SUMIFS($C:$C,$E:$E,$G16,$B:$B,J$4)</f>
        <v>0</v>
      </c>
      <c r="K16" s="145">
        <f t="shared" si="0"/>
        <v>0</v>
      </c>
      <c r="L16" s="145"/>
    </row>
    <row r="17" spans="5:12" x14ac:dyDescent="0.25">
      <c r="E17" s="147" t="e">
        <f>DATE(YEAR(#REF!),MONTH(#REF!),1)</f>
        <v>#REF!</v>
      </c>
      <c r="F17" s="155" cm="1">
        <f t="array" aca="1" ref="F17" ca="1">IFERROR(_xlfn.STOCKHISTORY("USD/BRL",E17,E17,0,0,1),Preços!$C$3)</f>
        <v>6.1798000000000002</v>
      </c>
      <c r="G17" s="151"/>
      <c r="H17" s="145">
        <f>SUMIFS($C:$C,$E:$E,$G17,$B:$B,H$4)</f>
        <v>0</v>
      </c>
      <c r="I17" s="145">
        <f>SUMIFS($C:$C,$E:$E,$G17,$B:$B,I$4)</f>
        <v>0</v>
      </c>
      <c r="J17" s="145">
        <f>SUMIFS($C:$C,$E:$E,$G17,$B:$B,J$4)</f>
        <v>0</v>
      </c>
      <c r="K17" s="145">
        <f t="shared" si="0"/>
        <v>0</v>
      </c>
      <c r="L17" s="145"/>
    </row>
    <row r="18" spans="5:12" x14ac:dyDescent="0.25">
      <c r="E18" s="147" t="e">
        <f>DATE(YEAR(#REF!),MONTH(#REF!),1)</f>
        <v>#REF!</v>
      </c>
      <c r="F18" s="155" cm="1">
        <f t="array" aca="1" ref="F18" ca="1">IFERROR(_xlfn.STOCKHISTORY("USD/BRL",E18,E18,0,0,1),Preços!$C$3)</f>
        <v>6.1798000000000002</v>
      </c>
      <c r="G18" s="151"/>
      <c r="H18" s="145">
        <f>SUMIFS($C:$C,$E:$E,$G18,$B:$B,H$4)</f>
        <v>0</v>
      </c>
      <c r="I18" s="145">
        <f>SUMIFS($C:$C,$E:$E,$G18,$B:$B,I$4)</f>
        <v>0</v>
      </c>
      <c r="J18" s="145">
        <f>SUMIFS($C:$C,$E:$E,$G18,$B:$B,J$4)</f>
        <v>0</v>
      </c>
      <c r="K18" s="145">
        <f t="shared" si="0"/>
        <v>0</v>
      </c>
      <c r="L18" s="145"/>
    </row>
    <row r="19" spans="5:12" x14ac:dyDescent="0.25">
      <c r="E19" s="147" t="e">
        <f>DATE(YEAR(#REF!),MONTH(#REF!),1)</f>
        <v>#REF!</v>
      </c>
      <c r="F19" s="155" cm="1">
        <f t="array" aca="1" ref="F19" ca="1">IFERROR(_xlfn.STOCKHISTORY("USD/BRL",E19,E19,0,0,1),Preços!$C$3)</f>
        <v>6.1798000000000002</v>
      </c>
      <c r="G19" s="151"/>
      <c r="H19" s="145">
        <f>SUMIFS($C:$C,$E:$E,$G19,$B:$B,H$4)</f>
        <v>0</v>
      </c>
      <c r="I19" s="145">
        <f>SUMIFS($C:$C,$E:$E,$G19,$B:$B,I$4)</f>
        <v>0</v>
      </c>
      <c r="J19" s="145">
        <f>SUMIFS($C:$C,$E:$E,$G19,$B:$B,J$4)</f>
        <v>0</v>
      </c>
      <c r="K19" s="145">
        <f t="shared" si="0"/>
        <v>0</v>
      </c>
      <c r="L19" s="145"/>
    </row>
    <row r="20" spans="5:12" x14ac:dyDescent="0.25">
      <c r="E20" s="147" t="e">
        <f>DATE(YEAR(#REF!),MONTH(#REF!),1)</f>
        <v>#REF!</v>
      </c>
      <c r="F20" s="155" cm="1">
        <f t="array" aca="1" ref="F20" ca="1">IFERROR(_xlfn.STOCKHISTORY("USD/BRL",E20,E20,0,0,1),Preços!$C$3)</f>
        <v>6.1798000000000002</v>
      </c>
      <c r="G20" s="151"/>
      <c r="H20" s="145">
        <f>SUMIFS($C:$C,$E:$E,$G20,$B:$B,H$4)</f>
        <v>0</v>
      </c>
      <c r="I20" s="145">
        <f>SUMIFS($C:$C,$E:$E,$G20,$B:$B,I$4)</f>
        <v>0</v>
      </c>
      <c r="J20" s="145">
        <f>SUMIFS($C:$C,$E:$E,$G20,$B:$B,J$4)</f>
        <v>0</v>
      </c>
      <c r="K20" s="145">
        <f t="shared" si="0"/>
        <v>0</v>
      </c>
      <c r="L20" s="145"/>
    </row>
    <row r="21" spans="5:12" x14ac:dyDescent="0.25">
      <c r="E21" s="147" t="e">
        <f>DATE(YEAR(#REF!),MONTH(#REF!),1)</f>
        <v>#REF!</v>
      </c>
      <c r="F21" s="155" cm="1">
        <f t="array" aca="1" ref="F21" ca="1">IFERROR(_xlfn.STOCKHISTORY("USD/BRL",E21,E21,0,0,1),Preços!$C$3)</f>
        <v>6.1798000000000002</v>
      </c>
      <c r="G21" s="151"/>
      <c r="H21" s="145">
        <f>SUMIFS($C:$C,$E:$E,$G21,$B:$B,H$4)</f>
        <v>0</v>
      </c>
      <c r="I21" s="145">
        <f>SUMIFS($C:$C,$E:$E,$G21,$B:$B,I$4)</f>
        <v>0</v>
      </c>
      <c r="J21" s="145">
        <f>SUMIFS($C:$C,$E:$E,$G21,$B:$B,J$4)</f>
        <v>0</v>
      </c>
      <c r="K21" s="145">
        <f t="shared" si="0"/>
        <v>0</v>
      </c>
      <c r="L21" s="145"/>
    </row>
    <row r="22" spans="5:12" x14ac:dyDescent="0.25">
      <c r="E22" s="147" t="e">
        <f>DATE(YEAR(#REF!),MONTH(#REF!),1)</f>
        <v>#REF!</v>
      </c>
      <c r="F22" s="155" cm="1">
        <f t="array" aca="1" ref="F22" ca="1">IFERROR(_xlfn.STOCKHISTORY("USD/BRL",E22,E22,0,0,1),Preços!$C$3)</f>
        <v>6.1798000000000002</v>
      </c>
      <c r="G22" s="151"/>
      <c r="H22" s="145">
        <f>SUMIFS($C:$C,$E:$E,$G22,$B:$B,H$4)</f>
        <v>0</v>
      </c>
      <c r="I22" s="145">
        <f>SUMIFS($C:$C,$E:$E,$G22,$B:$B,I$4)</f>
        <v>0</v>
      </c>
      <c r="J22" s="145">
        <f>SUMIFS($C:$C,$E:$E,$G22,$B:$B,J$4)</f>
        <v>0</v>
      </c>
      <c r="K22" s="145">
        <f t="shared" si="0"/>
        <v>0</v>
      </c>
      <c r="L22" s="145"/>
    </row>
    <row r="23" spans="5:12" x14ac:dyDescent="0.25">
      <c r="E23" s="147" t="e">
        <f>DATE(YEAR(#REF!),MONTH(#REF!),1)</f>
        <v>#REF!</v>
      </c>
      <c r="F23" s="155" cm="1">
        <f t="array" aca="1" ref="F23" ca="1">IFERROR(_xlfn.STOCKHISTORY("USD/BRL",E23,E23,0,0,1),Preços!$C$3)</f>
        <v>6.1798000000000002</v>
      </c>
      <c r="G23" s="151"/>
      <c r="H23" s="145">
        <f>SUMIFS($C:$C,$E:$E,$G23,$B:$B,H$4)</f>
        <v>0</v>
      </c>
      <c r="I23" s="145">
        <f>SUMIFS($C:$C,$E:$E,$G23,$B:$B,I$4)</f>
        <v>0</v>
      </c>
      <c r="J23" s="145">
        <f>SUMIFS($C:$C,$E:$E,$G23,$B:$B,J$4)</f>
        <v>0</v>
      </c>
      <c r="K23" s="145">
        <f t="shared" si="0"/>
        <v>0</v>
      </c>
      <c r="L23" s="145"/>
    </row>
    <row r="24" spans="5:12" x14ac:dyDescent="0.25">
      <c r="E24" s="147" t="e">
        <f>DATE(YEAR(#REF!),MONTH(#REF!),1)</f>
        <v>#REF!</v>
      </c>
      <c r="F24" s="155" cm="1">
        <f t="array" aca="1" ref="F24" ca="1">IFERROR(_xlfn.STOCKHISTORY("USD/BRL",E24,E24,0,0,1),Preços!$C$3)</f>
        <v>6.1798000000000002</v>
      </c>
      <c r="G24" s="151"/>
      <c r="H24" s="145">
        <f>SUMIFS($C:$C,$E:$E,$G24,$B:$B,H$4)</f>
        <v>0</v>
      </c>
      <c r="I24" s="145">
        <f>SUMIFS($C:$C,$E:$E,$G24,$B:$B,I$4)</f>
        <v>0</v>
      </c>
      <c r="J24" s="145">
        <f>SUMIFS($C:$C,$E:$E,$G24,$B:$B,J$4)</f>
        <v>0</v>
      </c>
      <c r="K24" s="145">
        <f t="shared" si="0"/>
        <v>0</v>
      </c>
      <c r="L24" s="145"/>
    </row>
    <row r="25" spans="5:12" x14ac:dyDescent="0.25">
      <c r="E25" s="147" t="e">
        <f>DATE(YEAR(#REF!),MONTH(#REF!),1)</f>
        <v>#REF!</v>
      </c>
      <c r="F25" s="155" cm="1">
        <f t="array" aca="1" ref="F25" ca="1">IFERROR(_xlfn.STOCKHISTORY("USD/BRL",E25,E25,0,0,1),Preços!$C$3)</f>
        <v>6.1798000000000002</v>
      </c>
      <c r="G25" s="151"/>
      <c r="H25" s="145">
        <f>SUMIFS($C:$C,$E:$E,$G25,$B:$B,H$4)</f>
        <v>0</v>
      </c>
      <c r="I25" s="145">
        <f>SUMIFS($C:$C,$E:$E,$G25,$B:$B,I$4)</f>
        <v>0</v>
      </c>
      <c r="J25" s="145">
        <f>SUMIFS($C:$C,$E:$E,$G25,$B:$B,J$4)</f>
        <v>0</v>
      </c>
      <c r="K25" s="145">
        <f t="shared" si="0"/>
        <v>0</v>
      </c>
      <c r="L25" s="145"/>
    </row>
    <row r="26" spans="5:12" x14ac:dyDescent="0.25">
      <c r="E26" s="147" t="e">
        <f>DATE(YEAR(#REF!),MONTH(#REF!),1)</f>
        <v>#REF!</v>
      </c>
      <c r="F26" s="155" cm="1">
        <f t="array" aca="1" ref="F26" ca="1">IFERROR(_xlfn.STOCKHISTORY("USD/BRL",E26,E26,0,0,1),Preços!$C$3)</f>
        <v>6.1798000000000002</v>
      </c>
      <c r="G26" s="151"/>
      <c r="H26" s="145">
        <f>SUMIFS($C:$C,$E:$E,$G26,$B:$B,H$4)</f>
        <v>0</v>
      </c>
      <c r="I26" s="145">
        <f>SUMIFS($C:$C,$E:$E,$G26,$B:$B,I$4)</f>
        <v>0</v>
      </c>
      <c r="J26" s="145">
        <f>SUMIFS($C:$C,$E:$E,$G26,$B:$B,J$4)</f>
        <v>0</v>
      </c>
      <c r="K26" s="145">
        <f t="shared" si="0"/>
        <v>0</v>
      </c>
      <c r="L26" s="145"/>
    </row>
    <row r="27" spans="5:12" x14ac:dyDescent="0.25">
      <c r="E27" s="147" t="e">
        <f>DATE(YEAR(#REF!),MONTH(#REF!),1)</f>
        <v>#REF!</v>
      </c>
      <c r="F27" s="155" cm="1">
        <f t="array" aca="1" ref="F27" ca="1">IFERROR(_xlfn.STOCKHISTORY("USD/BRL",E27,E27,0,0,1),Preços!$C$3)</f>
        <v>6.1798000000000002</v>
      </c>
      <c r="G27" s="151"/>
      <c r="H27" s="145">
        <f>SUMIFS($C:$C,$E:$E,$G27,$B:$B,H$4)</f>
        <v>0</v>
      </c>
      <c r="I27" s="145">
        <f>SUMIFS($C:$C,$E:$E,$G27,$B:$B,I$4)</f>
        <v>0</v>
      </c>
      <c r="J27" s="145">
        <f>SUMIFS($C:$C,$E:$E,$G27,$B:$B,J$4)</f>
        <v>0</v>
      </c>
      <c r="K27" s="145">
        <f t="shared" si="0"/>
        <v>0</v>
      </c>
      <c r="L27" s="145"/>
    </row>
    <row r="28" spans="5:12" x14ac:dyDescent="0.25">
      <c r="E28" s="147" t="e">
        <f>DATE(YEAR(#REF!),MONTH(#REF!),1)</f>
        <v>#REF!</v>
      </c>
      <c r="F28" s="155" cm="1">
        <f t="array" aca="1" ref="F28" ca="1">IFERROR(_xlfn.STOCKHISTORY("USD/BRL",E28,E28,0,0,1),Preços!$C$3)</f>
        <v>6.1798000000000002</v>
      </c>
      <c r="G28" s="151"/>
      <c r="H28" s="145">
        <f>SUMIFS($C:$C,$E:$E,$G28,$B:$B,H$4)</f>
        <v>0</v>
      </c>
      <c r="I28" s="145">
        <f>SUMIFS($C:$C,$E:$E,$G28,$B:$B,I$4)</f>
        <v>0</v>
      </c>
      <c r="J28" s="145">
        <f>SUMIFS($C:$C,$E:$E,$G28,$B:$B,J$4)</f>
        <v>0</v>
      </c>
      <c r="K28" s="145">
        <f t="shared" si="0"/>
        <v>0</v>
      </c>
      <c r="L28" s="145"/>
    </row>
    <row r="29" spans="5:12" x14ac:dyDescent="0.25">
      <c r="E29" s="147" t="e">
        <f>DATE(YEAR(#REF!),MONTH(#REF!),1)</f>
        <v>#REF!</v>
      </c>
      <c r="F29" s="155" cm="1">
        <f t="array" aca="1" ref="F29" ca="1">IFERROR(_xlfn.STOCKHISTORY("USD/BRL",E29,E29,0,0,1),Preços!$C$3)</f>
        <v>6.1798000000000002</v>
      </c>
      <c r="G29" s="151"/>
      <c r="H29" s="145">
        <f>SUMIFS($C:$C,$E:$E,$G29,$B:$B,H$4)</f>
        <v>0</v>
      </c>
      <c r="I29" s="145">
        <f>SUMIFS($C:$C,$E:$E,$G29,$B:$B,I$4)</f>
        <v>0</v>
      </c>
      <c r="J29" s="145">
        <f>SUMIFS($C:$C,$E:$E,$G29,$B:$B,J$4)</f>
        <v>0</v>
      </c>
      <c r="K29" s="145">
        <f t="shared" si="0"/>
        <v>0</v>
      </c>
      <c r="L29" s="145"/>
    </row>
    <row r="30" spans="5:12" x14ac:dyDescent="0.25">
      <c r="E30" s="147" t="e">
        <f>DATE(YEAR(#REF!),MONTH(#REF!),1)</f>
        <v>#REF!</v>
      </c>
      <c r="F30" s="155" cm="1">
        <f t="array" aca="1" ref="F30" ca="1">IFERROR(_xlfn.STOCKHISTORY("USD/BRL",E30,E30,0,0,1),Preços!$C$3)</f>
        <v>6.1798000000000002</v>
      </c>
      <c r="G30" s="151"/>
      <c r="H30" s="145">
        <f>SUMIFS($C:$C,$E:$E,$G30,$B:$B,H$4)</f>
        <v>0</v>
      </c>
      <c r="I30" s="145">
        <f>SUMIFS($C:$C,$E:$E,$G30,$B:$B,I$4)</f>
        <v>0</v>
      </c>
      <c r="J30" s="145">
        <f>SUMIFS($C:$C,$E:$E,$G30,$B:$B,J$4)</f>
        <v>0</v>
      </c>
      <c r="K30" s="145">
        <f t="shared" si="0"/>
        <v>0</v>
      </c>
      <c r="L30" s="145"/>
    </row>
    <row r="31" spans="5:12" x14ac:dyDescent="0.25">
      <c r="E31" s="147" t="e">
        <f>DATE(YEAR(#REF!),MONTH(#REF!),1)</f>
        <v>#REF!</v>
      </c>
      <c r="F31" s="155" cm="1">
        <f t="array" aca="1" ref="F31" ca="1">IFERROR(_xlfn.STOCKHISTORY("USD/BRL",E31,E31,0,0,1),Preços!$C$3)</f>
        <v>6.1798000000000002</v>
      </c>
      <c r="G31" s="151"/>
      <c r="H31" s="145">
        <f>SUMIFS($C:$C,$E:$E,$G31,$B:$B,H$4)</f>
        <v>0</v>
      </c>
      <c r="I31" s="145">
        <f>SUMIFS($C:$C,$E:$E,$G31,$B:$B,I$4)</f>
        <v>0</v>
      </c>
      <c r="J31" s="145">
        <f>SUMIFS($C:$C,$E:$E,$G31,$B:$B,J$4)</f>
        <v>0</v>
      </c>
      <c r="K31" s="145">
        <f t="shared" si="0"/>
        <v>0</v>
      </c>
      <c r="L31" s="145"/>
    </row>
    <row r="32" spans="5:12" x14ac:dyDescent="0.25">
      <c r="E32" s="147" t="e">
        <f>DATE(YEAR(#REF!),MONTH(#REF!),1)</f>
        <v>#REF!</v>
      </c>
      <c r="F32" s="155" cm="1">
        <f t="array" aca="1" ref="F32" ca="1">IFERROR(_xlfn.STOCKHISTORY("USD/BRL",E32,E32,0,0,1),Preços!$C$3)</f>
        <v>6.1798000000000002</v>
      </c>
      <c r="G32" s="151"/>
      <c r="H32" s="145">
        <f>SUMIFS($C:$C,$E:$E,$G32,$B:$B,H$4)</f>
        <v>0</v>
      </c>
      <c r="I32" s="145">
        <f>SUMIFS($C:$C,$E:$E,$G32,$B:$B,I$4)</f>
        <v>0</v>
      </c>
      <c r="J32" s="145">
        <f>SUMIFS($C:$C,$E:$E,$G32,$B:$B,J$4)</f>
        <v>0</v>
      </c>
      <c r="K32" s="145">
        <f t="shared" si="0"/>
        <v>0</v>
      </c>
      <c r="L32" s="145"/>
    </row>
    <row r="33" spans="5:12" x14ac:dyDescent="0.25">
      <c r="E33" s="147" t="e">
        <f>DATE(YEAR(#REF!),MONTH(#REF!),1)</f>
        <v>#REF!</v>
      </c>
      <c r="F33" s="155" cm="1">
        <f t="array" aca="1" ref="F33" ca="1">IFERROR(_xlfn.STOCKHISTORY("USD/BRL",E33,E33,0,0,1),Preços!$C$3)</f>
        <v>6.1798000000000002</v>
      </c>
      <c r="G33" s="151"/>
      <c r="H33" s="145">
        <f>SUMIFS($C:$C,$E:$E,$G33,$B:$B,H$4)</f>
        <v>0</v>
      </c>
      <c r="I33" s="145">
        <f>SUMIFS($C:$C,$E:$E,$G33,$B:$B,I$4)</f>
        <v>0</v>
      </c>
      <c r="J33" s="145">
        <f>SUMIFS($C:$C,$E:$E,$G33,$B:$B,J$4)</f>
        <v>0</v>
      </c>
      <c r="K33" s="145">
        <f t="shared" si="0"/>
        <v>0</v>
      </c>
      <c r="L33" s="145"/>
    </row>
    <row r="34" spans="5:12" x14ac:dyDescent="0.25">
      <c r="E34" s="147" t="e">
        <f>DATE(YEAR(#REF!),MONTH(#REF!),1)</f>
        <v>#REF!</v>
      </c>
      <c r="F34" s="155" cm="1">
        <f t="array" aca="1" ref="F34" ca="1">IFERROR(_xlfn.STOCKHISTORY("USD/BRL",E34,E34,0,0,1),Preços!$C$3)</f>
        <v>6.1798000000000002</v>
      </c>
      <c r="G34" s="151"/>
      <c r="H34" s="145">
        <f>SUMIFS($C:$C,$E:$E,$G34,$B:$B,H$4)</f>
        <v>0</v>
      </c>
      <c r="I34" s="145">
        <f>SUMIFS($C:$C,$E:$E,$G34,$B:$B,I$4)</f>
        <v>0</v>
      </c>
      <c r="J34" s="145">
        <f>SUMIFS($C:$C,$E:$E,$G34,$B:$B,J$4)</f>
        <v>0</v>
      </c>
      <c r="K34" s="145">
        <f t="shared" si="0"/>
        <v>0</v>
      </c>
      <c r="L34" s="145"/>
    </row>
    <row r="35" spans="5:12" x14ac:dyDescent="0.25">
      <c r="E35" s="147" t="e">
        <f>DATE(YEAR(#REF!),MONTH(#REF!),1)</f>
        <v>#REF!</v>
      </c>
      <c r="F35" s="155" cm="1">
        <f t="array" aca="1" ref="F35" ca="1">IFERROR(_xlfn.STOCKHISTORY("USD/BRL",E35,E35,0,0,1),Preços!$C$3)</f>
        <v>6.1798000000000002</v>
      </c>
      <c r="G35" s="151"/>
      <c r="H35" s="145">
        <f>SUMIFS($C:$C,$E:$E,$G35,$B:$B,H$4)</f>
        <v>0</v>
      </c>
      <c r="I35" s="145">
        <f>SUMIFS($C:$C,$E:$E,$G35,$B:$B,I$4)</f>
        <v>0</v>
      </c>
      <c r="J35" s="145">
        <f>SUMIFS($C:$C,$E:$E,$G35,$B:$B,J$4)</f>
        <v>0</v>
      </c>
      <c r="K35" s="145">
        <f t="shared" si="0"/>
        <v>0</v>
      </c>
      <c r="L35" s="145"/>
    </row>
    <row r="36" spans="5:12" x14ac:dyDescent="0.25">
      <c r="E36" s="147" t="e">
        <f>DATE(YEAR(#REF!),MONTH(#REF!),1)</f>
        <v>#REF!</v>
      </c>
      <c r="F36" s="155" cm="1">
        <f t="array" aca="1" ref="F36" ca="1">IFERROR(_xlfn.STOCKHISTORY("USD/BRL",E36,E36,0,0,1),Preços!$C$3)</f>
        <v>6.1798000000000002</v>
      </c>
      <c r="G36" s="151"/>
      <c r="H36" s="145">
        <f>SUMIFS($C:$C,$E:$E,$G36,$B:$B,H$4)</f>
        <v>0</v>
      </c>
      <c r="I36" s="145">
        <f>SUMIFS($C:$C,$E:$E,$G36,$B:$B,I$4)</f>
        <v>0</v>
      </c>
      <c r="J36" s="145">
        <f>SUMIFS($C:$C,$E:$E,$G36,$B:$B,J$4)</f>
        <v>0</v>
      </c>
      <c r="K36" s="145">
        <f t="shared" si="0"/>
        <v>0</v>
      </c>
      <c r="L36" s="145"/>
    </row>
    <row r="37" spans="5:12" x14ac:dyDescent="0.25">
      <c r="E37" s="147" t="e">
        <f>DATE(YEAR(#REF!),MONTH(#REF!),1)</f>
        <v>#REF!</v>
      </c>
      <c r="F37" s="155" cm="1">
        <f t="array" aca="1" ref="F37" ca="1">IFERROR(_xlfn.STOCKHISTORY("USD/BRL",E37,E37,0,0,1),Preços!$C$3)</f>
        <v>6.1798000000000002</v>
      </c>
      <c r="G37" s="151"/>
      <c r="H37" s="145">
        <f>SUMIFS($C:$C,$E:$E,$G37,$B:$B,H$4)</f>
        <v>0</v>
      </c>
      <c r="I37" s="145">
        <f>SUMIFS($C:$C,$E:$E,$G37,$B:$B,I$4)</f>
        <v>0</v>
      </c>
      <c r="J37" s="145">
        <f>SUMIFS($C:$C,$E:$E,$G37,$B:$B,J$4)</f>
        <v>0</v>
      </c>
      <c r="K37" s="145">
        <f t="shared" si="0"/>
        <v>0</v>
      </c>
      <c r="L37" s="145"/>
    </row>
    <row r="38" spans="5:12" x14ac:dyDescent="0.25">
      <c r="E38" s="147" t="e">
        <f>DATE(YEAR(#REF!),MONTH(#REF!),1)</f>
        <v>#REF!</v>
      </c>
      <c r="F38" s="155" cm="1">
        <f t="array" aca="1" ref="F38" ca="1">IFERROR(_xlfn.STOCKHISTORY("USD/BRL",E38,E38,0,0,1),Preços!$C$3)</f>
        <v>6.1798000000000002</v>
      </c>
      <c r="G38" s="151"/>
      <c r="H38" s="145">
        <f>SUMIFS($C:$C,$E:$E,$G38,$B:$B,H$4)</f>
        <v>0</v>
      </c>
      <c r="I38" s="145">
        <f>SUMIFS($C:$C,$E:$E,$G38,$B:$B,I$4)</f>
        <v>0</v>
      </c>
      <c r="J38" s="145">
        <f>SUMIFS($C:$C,$E:$E,$G38,$B:$B,J$4)</f>
        <v>0</v>
      </c>
      <c r="K38" s="145">
        <f t="shared" si="0"/>
        <v>0</v>
      </c>
      <c r="L38" s="145"/>
    </row>
    <row r="39" spans="5:12" x14ac:dyDescent="0.25">
      <c r="E39" s="147" t="e">
        <f>DATE(YEAR(#REF!),MONTH(#REF!),1)</f>
        <v>#REF!</v>
      </c>
      <c r="F39" s="155" cm="1">
        <f t="array" aca="1" ref="F39" ca="1">IFERROR(_xlfn.STOCKHISTORY("USD/BRL",E39,E39,0,0,1),Preços!$C$3)</f>
        <v>6.1798000000000002</v>
      </c>
      <c r="G39" s="151"/>
      <c r="H39" s="145">
        <f>SUMIFS($C:$C,$E:$E,$G39,$B:$B,H$4)</f>
        <v>0</v>
      </c>
      <c r="I39" s="145">
        <f>SUMIFS($C:$C,$E:$E,$G39,$B:$B,I$4)</f>
        <v>0</v>
      </c>
      <c r="J39" s="145">
        <f>SUMIFS($C:$C,$E:$E,$G39,$B:$B,J$4)</f>
        <v>0</v>
      </c>
      <c r="K39" s="145">
        <f t="shared" si="0"/>
        <v>0</v>
      </c>
      <c r="L39" s="145"/>
    </row>
    <row r="40" spans="5:12" x14ac:dyDescent="0.25">
      <c r="E40" s="147" t="e">
        <f>DATE(YEAR(#REF!),MONTH(#REF!),1)</f>
        <v>#REF!</v>
      </c>
      <c r="F40" s="155" cm="1">
        <f t="array" aca="1" ref="F40" ca="1">IFERROR(_xlfn.STOCKHISTORY("USD/BRL",E40,E40,0,0,1),Preços!$C$3)</f>
        <v>6.1798000000000002</v>
      </c>
      <c r="G40" s="151"/>
      <c r="H40" s="145">
        <f>SUMIFS($C:$C,$E:$E,$G40,$B:$B,H$4)</f>
        <v>0</v>
      </c>
      <c r="I40" s="145">
        <f>SUMIFS($C:$C,$E:$E,$G40,$B:$B,I$4)</f>
        <v>0</v>
      </c>
      <c r="J40" s="145">
        <f>SUMIFS($C:$C,$E:$E,$G40,$B:$B,J$4)</f>
        <v>0</v>
      </c>
      <c r="K40" s="145">
        <f t="shared" si="0"/>
        <v>0</v>
      </c>
      <c r="L40" s="145"/>
    </row>
    <row r="41" spans="5:12" x14ac:dyDescent="0.25">
      <c r="E41" s="147" t="e">
        <f>DATE(YEAR(#REF!),MONTH(#REF!),1)</f>
        <v>#REF!</v>
      </c>
      <c r="F41" s="155" cm="1">
        <f t="array" aca="1" ref="F41" ca="1">IFERROR(_xlfn.STOCKHISTORY("USD/BRL",E41,E41,0,0,1),Preços!$C$3)</f>
        <v>6.1798000000000002</v>
      </c>
      <c r="G41" s="151"/>
      <c r="H41" s="145">
        <f>SUMIFS($C:$C,$E:$E,$G41,$B:$B,H$4)</f>
        <v>0</v>
      </c>
      <c r="I41" s="145">
        <f>SUMIFS($C:$C,$E:$E,$G41,$B:$B,I$4)</f>
        <v>0</v>
      </c>
      <c r="J41" s="145">
        <f>SUMIFS($C:$C,$E:$E,$G41,$B:$B,J$4)</f>
        <v>0</v>
      </c>
      <c r="K41" s="145">
        <f t="shared" si="0"/>
        <v>0</v>
      </c>
      <c r="L41" s="145"/>
    </row>
    <row r="42" spans="5:12" x14ac:dyDescent="0.25">
      <c r="E42" s="147" t="e">
        <f>DATE(YEAR(#REF!),MONTH(#REF!),1)</f>
        <v>#REF!</v>
      </c>
      <c r="F42" s="155" cm="1">
        <f t="array" aca="1" ref="F42" ca="1">IFERROR(_xlfn.STOCKHISTORY("USD/BRL",E42,E42,0,0,1),Preços!$C$3)</f>
        <v>6.1798000000000002</v>
      </c>
      <c r="G42" s="151"/>
      <c r="H42" s="145">
        <f>SUMIFS($C:$C,$E:$E,$G42,$B:$B,H$4)</f>
        <v>0</v>
      </c>
      <c r="I42" s="145">
        <f>SUMIFS($C:$C,$E:$E,$G42,$B:$B,I$4)</f>
        <v>0</v>
      </c>
      <c r="J42" s="145">
        <f>SUMIFS($C:$C,$E:$E,$G42,$B:$B,J$4)</f>
        <v>0</v>
      </c>
      <c r="K42" s="145">
        <f t="shared" si="0"/>
        <v>0</v>
      </c>
      <c r="L42" s="145"/>
    </row>
    <row r="43" spans="5:12" x14ac:dyDescent="0.25">
      <c r="E43" s="147" t="e">
        <f>DATE(YEAR(#REF!),MONTH(#REF!),1)</f>
        <v>#REF!</v>
      </c>
      <c r="F43" s="155" cm="1">
        <f t="array" aca="1" ref="F43" ca="1">IFERROR(_xlfn.STOCKHISTORY("USD/BRL",E43,E43,0,0,1),Preços!$C$3)</f>
        <v>6.1798000000000002</v>
      </c>
      <c r="G43" s="151"/>
      <c r="H43" s="145">
        <f>SUMIFS($C:$C,$E:$E,$G43,$B:$B,H$4)</f>
        <v>0</v>
      </c>
      <c r="I43" s="145">
        <f>SUMIFS($C:$C,$E:$E,$G43,$B:$B,I$4)</f>
        <v>0</v>
      </c>
      <c r="J43" s="145">
        <f>SUMIFS($C:$C,$E:$E,$G43,$B:$B,J$4)</f>
        <v>0</v>
      </c>
      <c r="K43" s="145">
        <f t="shared" si="0"/>
        <v>0</v>
      </c>
      <c r="L43" s="145"/>
    </row>
    <row r="44" spans="5:12" x14ac:dyDescent="0.25">
      <c r="E44" s="147" t="e">
        <f>DATE(YEAR(#REF!),MONTH(#REF!),1)</f>
        <v>#REF!</v>
      </c>
      <c r="F44" s="155" cm="1">
        <f t="array" aca="1" ref="F44" ca="1">IFERROR(_xlfn.STOCKHISTORY("USD/BRL",E44,E44,0,0,1),Preços!$C$3)</f>
        <v>6.1798000000000002</v>
      </c>
      <c r="G44" s="151"/>
      <c r="H44" s="145">
        <f>SUMIFS($C:$C,$E:$E,$G44,$B:$B,H$4)</f>
        <v>0</v>
      </c>
      <c r="I44" s="145">
        <f>SUMIFS($C:$C,$E:$E,$G44,$B:$B,I$4)</f>
        <v>0</v>
      </c>
      <c r="J44" s="145">
        <f>SUMIFS($C:$C,$E:$E,$G44,$B:$B,J$4)</f>
        <v>0</v>
      </c>
      <c r="K44" s="145">
        <f t="shared" si="0"/>
        <v>0</v>
      </c>
      <c r="L44" s="145"/>
    </row>
    <row r="45" spans="5:12" x14ac:dyDescent="0.25">
      <c r="E45" s="147" t="e">
        <f>DATE(YEAR(#REF!),MONTH(#REF!),1)</f>
        <v>#REF!</v>
      </c>
      <c r="F45" s="155" cm="1">
        <f t="array" aca="1" ref="F45" ca="1">IFERROR(_xlfn.STOCKHISTORY("USD/BRL",E45,E45,0,0,1),Preços!$C$3)</f>
        <v>6.1798000000000002</v>
      </c>
      <c r="G45" s="151"/>
      <c r="H45" s="145">
        <f>SUMIFS($C:$C,$E:$E,$G45,$B:$B,H$4)</f>
        <v>0</v>
      </c>
      <c r="I45" s="145">
        <f>SUMIFS($C:$C,$E:$E,$G45,$B:$B,I$4)</f>
        <v>0</v>
      </c>
      <c r="J45" s="145">
        <f>SUMIFS($C:$C,$E:$E,$G45,$B:$B,J$4)</f>
        <v>0</v>
      </c>
      <c r="K45" s="145">
        <f t="shared" si="0"/>
        <v>0</v>
      </c>
      <c r="L45" s="145"/>
    </row>
    <row r="46" spans="5:12" x14ac:dyDescent="0.25">
      <c r="E46" s="147" t="e">
        <f>DATE(YEAR(#REF!),MONTH(#REF!),1)</f>
        <v>#REF!</v>
      </c>
      <c r="F46" s="155" cm="1">
        <f t="array" aca="1" ref="F46" ca="1">IFERROR(_xlfn.STOCKHISTORY("USD/BRL",E46,E46,0,0,1),Preços!$C$3)</f>
        <v>6.1798000000000002</v>
      </c>
      <c r="G46" s="151"/>
      <c r="H46" s="145">
        <f>SUMIFS($C:$C,$E:$E,$G46,$B:$B,H$4)</f>
        <v>0</v>
      </c>
      <c r="I46" s="145">
        <f>SUMIFS($C:$C,$E:$E,$G46,$B:$B,I$4)</f>
        <v>0</v>
      </c>
      <c r="J46" s="145">
        <f>SUMIFS($C:$C,$E:$E,$G46,$B:$B,J$4)</f>
        <v>0</v>
      </c>
      <c r="K46" s="145">
        <f t="shared" si="0"/>
        <v>0</v>
      </c>
      <c r="L46" s="145"/>
    </row>
    <row r="47" spans="5:12" x14ac:dyDescent="0.25">
      <c r="E47" s="147" t="e">
        <f>DATE(YEAR(#REF!),MONTH(#REF!),1)</f>
        <v>#REF!</v>
      </c>
      <c r="F47" s="155" cm="1">
        <f t="array" aca="1" ref="F47" ca="1">IFERROR(_xlfn.STOCKHISTORY("USD/BRL",E47,E47,0,0,1),Preços!$C$3)</f>
        <v>6.1798000000000002</v>
      </c>
      <c r="G47" s="151"/>
      <c r="H47" s="145">
        <f>SUMIFS($C:$C,$E:$E,$G47,$B:$B,H$4)</f>
        <v>0</v>
      </c>
      <c r="I47" s="145">
        <f>SUMIFS($C:$C,$E:$E,$G47,$B:$B,I$4)</f>
        <v>0</v>
      </c>
      <c r="J47" s="145">
        <f>SUMIFS($C:$C,$E:$E,$G47,$B:$B,J$4)</f>
        <v>0</v>
      </c>
      <c r="K47" s="145">
        <f t="shared" si="0"/>
        <v>0</v>
      </c>
      <c r="L47" s="145"/>
    </row>
    <row r="48" spans="5:12" x14ac:dyDescent="0.25">
      <c r="E48" s="147" t="e">
        <f>DATE(YEAR(#REF!),MONTH(#REF!),1)</f>
        <v>#REF!</v>
      </c>
      <c r="F48" s="155" cm="1">
        <f t="array" aca="1" ref="F48" ca="1">IFERROR(_xlfn.STOCKHISTORY("USD/BRL",E48,E48,0,0,1),Preços!$C$3)</f>
        <v>6.1798000000000002</v>
      </c>
      <c r="G48" s="151"/>
      <c r="H48" s="145">
        <f>SUMIFS($C:$C,$E:$E,$G48,$B:$B,H$4)</f>
        <v>0</v>
      </c>
      <c r="I48" s="145">
        <f>SUMIFS($C:$C,$E:$E,$G48,$B:$B,I$4)</f>
        <v>0</v>
      </c>
      <c r="J48" s="145">
        <f>SUMIFS($C:$C,$E:$E,$G48,$B:$B,J$4)</f>
        <v>0</v>
      </c>
      <c r="K48" s="145">
        <f t="shared" si="0"/>
        <v>0</v>
      </c>
      <c r="L48" s="145"/>
    </row>
    <row r="49" spans="5:6" x14ac:dyDescent="0.25">
      <c r="E49" s="147" t="e">
        <f>DATE(YEAR(#REF!),MONTH(#REF!),1)</f>
        <v>#REF!</v>
      </c>
      <c r="F49" s="155" cm="1">
        <f t="array" aca="1" ref="F49" ca="1">IFERROR(_xlfn.STOCKHISTORY("USD/BRL",E49,E49,0,0,1),Preços!$C$3)</f>
        <v>6.1798000000000002</v>
      </c>
    </row>
    <row r="50" spans="5:6" x14ac:dyDescent="0.25">
      <c r="E50" s="147" t="e">
        <f>DATE(YEAR(#REF!),MONTH(#REF!),1)</f>
        <v>#REF!</v>
      </c>
      <c r="F50" s="155" cm="1">
        <f t="array" aca="1" ref="F50" ca="1">IFERROR(_xlfn.STOCKHISTORY("USD/BRL",E50,E50,0,0,1),Preços!$C$3)</f>
        <v>6.1798000000000002</v>
      </c>
    </row>
    <row r="51" spans="5:6" x14ac:dyDescent="0.25">
      <c r="E51" s="147" t="e">
        <f>DATE(YEAR(#REF!),MONTH(#REF!),1)</f>
        <v>#REF!</v>
      </c>
      <c r="F51" s="155" cm="1">
        <f t="array" aca="1" ref="F51" ca="1">IFERROR(_xlfn.STOCKHISTORY("USD/BRL",E51,E51,0,0,1),Preços!$C$3)</f>
        <v>6.1798000000000002</v>
      </c>
    </row>
    <row r="52" spans="5:6" x14ac:dyDescent="0.25">
      <c r="E52" s="147" t="e">
        <f>DATE(YEAR(#REF!),MONTH(#REF!),1)</f>
        <v>#REF!</v>
      </c>
      <c r="F52" s="155" cm="1">
        <f t="array" aca="1" ref="F52" ca="1">IFERROR(_xlfn.STOCKHISTORY("USD/BRL",E52,E52,0,0,1),Preços!$C$3)</f>
        <v>6.1798000000000002</v>
      </c>
    </row>
    <row r="53" spans="5:6" x14ac:dyDescent="0.25">
      <c r="E53" s="147" t="e">
        <f>DATE(YEAR(#REF!),MONTH(#REF!),1)</f>
        <v>#REF!</v>
      </c>
      <c r="F53" s="155" cm="1">
        <f t="array" aca="1" ref="F53" ca="1">IFERROR(_xlfn.STOCKHISTORY("USD/BRL",E53,E53,0,0,1),Preços!$C$3)</f>
        <v>6.1798000000000002</v>
      </c>
    </row>
    <row r="54" spans="5:6" x14ac:dyDescent="0.25">
      <c r="E54" s="147" t="e">
        <f>DATE(YEAR(#REF!),MONTH(#REF!),1)</f>
        <v>#REF!</v>
      </c>
      <c r="F54" s="155" cm="1">
        <f t="array" aca="1" ref="F54" ca="1">IFERROR(_xlfn.STOCKHISTORY("USD/BRL",E54,E54,0,0,1),Preços!$C$3)</f>
        <v>6.1798000000000002</v>
      </c>
    </row>
    <row r="55" spans="5:6" x14ac:dyDescent="0.25">
      <c r="E55" s="147" t="e">
        <f>DATE(YEAR(#REF!),MONTH(#REF!),1)</f>
        <v>#REF!</v>
      </c>
      <c r="F55" s="155" cm="1">
        <f t="array" aca="1" ref="F55" ca="1">IFERROR(_xlfn.STOCKHISTORY("USD/BRL",E55,E55,0,0,1),Preços!$C$3)</f>
        <v>6.1798000000000002</v>
      </c>
    </row>
    <row r="56" spans="5:6" x14ac:dyDescent="0.25">
      <c r="E56" s="147" t="e">
        <f>DATE(YEAR(#REF!),MONTH(#REF!),1)</f>
        <v>#REF!</v>
      </c>
      <c r="F56" s="155" cm="1">
        <f t="array" aca="1" ref="F56" ca="1">IFERROR(_xlfn.STOCKHISTORY("USD/BRL",E56,E56,0,0,1),Preços!$C$3)</f>
        <v>6.1798000000000002</v>
      </c>
    </row>
    <row r="57" spans="5:6" x14ac:dyDescent="0.25">
      <c r="E57" s="147" t="e">
        <f>DATE(YEAR(#REF!),MONTH(#REF!),1)</f>
        <v>#REF!</v>
      </c>
      <c r="F57" s="155" cm="1">
        <f t="array" aca="1" ref="F57" ca="1">IFERROR(_xlfn.STOCKHISTORY("USD/BRL",E57,E57,0,0,1),Preços!$C$3)</f>
        <v>6.1798000000000002</v>
      </c>
    </row>
    <row r="58" spans="5:6" x14ac:dyDescent="0.25">
      <c r="E58" s="147" t="e">
        <f>DATE(YEAR(#REF!),MONTH(#REF!),1)</f>
        <v>#REF!</v>
      </c>
      <c r="F58" s="155" cm="1">
        <f t="array" aca="1" ref="F58" ca="1">IFERROR(_xlfn.STOCKHISTORY("USD/BRL",E58,E58,0,0,1),Preços!$C$3)</f>
        <v>6.1798000000000002</v>
      </c>
    </row>
    <row r="59" spans="5:6" x14ac:dyDescent="0.25">
      <c r="E59" s="147" t="e">
        <f>DATE(YEAR(#REF!),MONTH(#REF!),1)</f>
        <v>#REF!</v>
      </c>
      <c r="F59" s="155" cm="1">
        <f t="array" aca="1" ref="F59" ca="1">IFERROR(_xlfn.STOCKHISTORY("USD/BRL",E59,E59,0,0,1),Preços!$C$3)</f>
        <v>6.1798000000000002</v>
      </c>
    </row>
    <row r="60" spans="5:6" x14ac:dyDescent="0.25">
      <c r="E60" s="147" t="e">
        <f>DATE(YEAR(#REF!),MONTH(#REF!),1)</f>
        <v>#REF!</v>
      </c>
      <c r="F60" s="155" cm="1">
        <f t="array" aca="1" ref="F60" ca="1">IFERROR(_xlfn.STOCKHISTORY("USD/BRL",E60,E60,0,0,1),Preços!$C$3)</f>
        <v>6.1798000000000002</v>
      </c>
    </row>
    <row r="61" spans="5:6" x14ac:dyDescent="0.25">
      <c r="E61" s="147" t="e">
        <f>DATE(YEAR(#REF!),MONTH(#REF!),1)</f>
        <v>#REF!</v>
      </c>
      <c r="F61" s="155" cm="1">
        <f t="array" aca="1" ref="F61" ca="1">IFERROR(_xlfn.STOCKHISTORY("USD/BRL",E61,E61,0,0,1),Preços!$C$3)</f>
        <v>6.1798000000000002</v>
      </c>
    </row>
    <row r="62" spans="5:6" x14ac:dyDescent="0.25">
      <c r="E62" s="147" t="e">
        <f>DATE(YEAR(#REF!),MONTH(#REF!),1)</f>
        <v>#REF!</v>
      </c>
      <c r="F62" s="155" cm="1">
        <f t="array" aca="1" ref="F62" ca="1">IFERROR(_xlfn.STOCKHISTORY("USD/BRL",E62,E62,0,0,1),Preços!$C$3)</f>
        <v>6.1798000000000002</v>
      </c>
    </row>
    <row r="63" spans="5:6" x14ac:dyDescent="0.25">
      <c r="E63" s="147" t="e">
        <f>DATE(YEAR(#REF!),MONTH(#REF!),1)</f>
        <v>#REF!</v>
      </c>
      <c r="F63" s="155" cm="1">
        <f t="array" aca="1" ref="F63" ca="1">IFERROR(_xlfn.STOCKHISTORY("USD/BRL",E63,E63,0,0,1),Preços!$C$3)</f>
        <v>6.1798000000000002</v>
      </c>
    </row>
    <row r="64" spans="5:6" x14ac:dyDescent="0.25">
      <c r="E64" s="147" t="e">
        <f>DATE(YEAR(#REF!),MONTH(#REF!),1)</f>
        <v>#REF!</v>
      </c>
      <c r="F64" s="155" cm="1">
        <f t="array" aca="1" ref="F64" ca="1">IFERROR(_xlfn.STOCKHISTORY("USD/BRL",E64,E64,0,0,1),Preços!$C$3)</f>
        <v>6.1798000000000002</v>
      </c>
    </row>
    <row r="65" spans="5:6" x14ac:dyDescent="0.25">
      <c r="E65" s="147" t="e">
        <f>DATE(YEAR(#REF!),MONTH(#REF!),1)</f>
        <v>#REF!</v>
      </c>
      <c r="F65" s="155" cm="1">
        <f t="array" aca="1" ref="F65" ca="1">IFERROR(_xlfn.STOCKHISTORY("USD/BRL",E65,E65,0,0,1),Preços!$C$3)</f>
        <v>6.1798000000000002</v>
      </c>
    </row>
    <row r="66" spans="5:6" x14ac:dyDescent="0.25">
      <c r="E66" s="147" t="e">
        <f>DATE(YEAR(#REF!),MONTH(#REF!),1)</f>
        <v>#REF!</v>
      </c>
      <c r="F66" s="155" cm="1">
        <f t="array" aca="1" ref="F66" ca="1">IFERROR(_xlfn.STOCKHISTORY("USD/BRL",E66,E66,0,0,1),Preços!$C$3)</f>
        <v>6.1798000000000002</v>
      </c>
    </row>
    <row r="67" spans="5:6" x14ac:dyDescent="0.25">
      <c r="E67" s="147" t="e">
        <f>DATE(YEAR(#REF!),MONTH(#REF!),1)</f>
        <v>#REF!</v>
      </c>
      <c r="F67" s="155" cm="1">
        <f t="array" aca="1" ref="F67" ca="1">IFERROR(_xlfn.STOCKHISTORY("USD/BRL",E67,E67,0,0,1),Preços!$C$3)</f>
        <v>6.1798000000000002</v>
      </c>
    </row>
    <row r="68" spans="5:6" x14ac:dyDescent="0.25">
      <c r="E68" s="147" t="e">
        <f>DATE(YEAR(#REF!),MONTH(#REF!),1)</f>
        <v>#REF!</v>
      </c>
      <c r="F68" s="155" cm="1">
        <f t="array" aca="1" ref="F68" ca="1">IFERROR(_xlfn.STOCKHISTORY("USD/BRL",E68,E68,0,0,1),Preços!$C$3)</f>
        <v>6.1798000000000002</v>
      </c>
    </row>
    <row r="69" spans="5:6" x14ac:dyDescent="0.25">
      <c r="E69" s="147" t="e">
        <f>DATE(YEAR(#REF!),MONTH(#REF!),1)</f>
        <v>#REF!</v>
      </c>
      <c r="F69" s="155" cm="1">
        <f t="array" aca="1" ref="F69" ca="1">IFERROR(_xlfn.STOCKHISTORY("USD/BRL",E69,E69,0,0,1),Preços!$C$3)</f>
        <v>6.1798000000000002</v>
      </c>
    </row>
    <row r="70" spans="5:6" x14ac:dyDescent="0.25">
      <c r="E70" s="147" t="e">
        <f>DATE(YEAR(#REF!),MONTH(#REF!),1)</f>
        <v>#REF!</v>
      </c>
      <c r="F70" s="155" cm="1">
        <f t="array" aca="1" ref="F70" ca="1">IFERROR(_xlfn.STOCKHISTORY("USD/BRL",E70,E70,0,0,1),Preços!$C$3)</f>
        <v>6.1798000000000002</v>
      </c>
    </row>
    <row r="71" spans="5:6" x14ac:dyDescent="0.25">
      <c r="E71" s="147" t="e">
        <f>DATE(YEAR(#REF!),MONTH(#REF!),1)</f>
        <v>#REF!</v>
      </c>
      <c r="F71" s="155" cm="1">
        <f t="array" aca="1" ref="F71" ca="1">IFERROR(_xlfn.STOCKHISTORY("USD/BRL",E71,E71,0,0,1),Preços!$C$3)</f>
        <v>6.1798000000000002</v>
      </c>
    </row>
    <row r="72" spans="5:6" x14ac:dyDescent="0.25">
      <c r="E72" s="147" t="e">
        <f>DATE(YEAR(#REF!),MONTH(#REF!),1)</f>
        <v>#REF!</v>
      </c>
      <c r="F72" s="155" cm="1">
        <f t="array" aca="1" ref="F72" ca="1">IFERROR(_xlfn.STOCKHISTORY("USD/BRL",E72,E72,0,0,1),Preços!$C$3)</f>
        <v>6.1798000000000002</v>
      </c>
    </row>
    <row r="73" spans="5:6" x14ac:dyDescent="0.25">
      <c r="E73" s="147" t="e">
        <f>DATE(YEAR(#REF!),MONTH(#REF!),1)</f>
        <v>#REF!</v>
      </c>
      <c r="F73" s="155" cm="1">
        <f t="array" aca="1" ref="F73" ca="1">IFERROR(_xlfn.STOCKHISTORY("USD/BRL",E73,E73,0,0,1),Preços!$C$3)</f>
        <v>6.1798000000000002</v>
      </c>
    </row>
    <row r="74" spans="5:6" x14ac:dyDescent="0.25">
      <c r="E74" s="147" t="e">
        <f>DATE(YEAR(#REF!),MONTH(#REF!),1)</f>
        <v>#REF!</v>
      </c>
      <c r="F74" s="155" cm="1">
        <f t="array" aca="1" ref="F74" ca="1">IFERROR(_xlfn.STOCKHISTORY("USD/BRL",E74,E74,0,0,1),Preços!$C$3)</f>
        <v>6.1798000000000002</v>
      </c>
    </row>
    <row r="75" spans="5:6" x14ac:dyDescent="0.25">
      <c r="E75" s="147" t="e">
        <f>DATE(YEAR(#REF!),MONTH(#REF!),1)</f>
        <v>#REF!</v>
      </c>
      <c r="F75" s="155" cm="1">
        <f t="array" aca="1" ref="F75" ca="1">IFERROR(_xlfn.STOCKHISTORY("USD/BRL",E75,E75,0,0,1),Preços!$C$3)</f>
        <v>6.1798000000000002</v>
      </c>
    </row>
    <row r="76" spans="5:6" x14ac:dyDescent="0.25">
      <c r="E76" s="147" t="e">
        <f>DATE(YEAR(#REF!),MONTH(#REF!),1)</f>
        <v>#REF!</v>
      </c>
      <c r="F76" s="155" cm="1">
        <f t="array" aca="1" ref="F76" ca="1">IFERROR(_xlfn.STOCKHISTORY("USD/BRL",E76,E76,0,0,1),Preços!$C$3)</f>
        <v>6.1798000000000002</v>
      </c>
    </row>
    <row r="77" spans="5:6" x14ac:dyDescent="0.25">
      <c r="E77" s="147" t="e">
        <f>DATE(YEAR(#REF!),MONTH(#REF!),1)</f>
        <v>#REF!</v>
      </c>
      <c r="F77" s="155" cm="1">
        <f t="array" aca="1" ref="F77" ca="1">IFERROR(_xlfn.STOCKHISTORY("USD/BRL",E77,E77,0,0,1),Preços!$C$3)</f>
        <v>6.1798000000000002</v>
      </c>
    </row>
    <row r="78" spans="5:6" x14ac:dyDescent="0.25">
      <c r="E78" s="147" t="e">
        <f>DATE(YEAR(#REF!),MONTH(#REF!),1)</f>
        <v>#REF!</v>
      </c>
      <c r="F78" s="155" cm="1">
        <f t="array" aca="1" ref="F78" ca="1">IFERROR(_xlfn.STOCKHISTORY("USD/BRL",E78,E78,0,0,1),Preços!$C$3)</f>
        <v>6.1798000000000002</v>
      </c>
    </row>
    <row r="79" spans="5:6" x14ac:dyDescent="0.25">
      <c r="E79" s="147" t="e">
        <f>DATE(YEAR(#REF!),MONTH(#REF!),1)</f>
        <v>#REF!</v>
      </c>
      <c r="F79" s="155" cm="1">
        <f t="array" aca="1" ref="F79" ca="1">IFERROR(_xlfn.STOCKHISTORY("USD/BRL",E79,E79,0,0,1),Preços!$C$3)</f>
        <v>6.1798000000000002</v>
      </c>
    </row>
    <row r="80" spans="5:6" x14ac:dyDescent="0.25">
      <c r="E80" s="147" t="e">
        <f>DATE(YEAR(#REF!),MONTH(#REF!),1)</f>
        <v>#REF!</v>
      </c>
      <c r="F80" s="155" cm="1">
        <f t="array" aca="1" ref="F80" ca="1">IFERROR(_xlfn.STOCKHISTORY("USD/BRL",E80,E80,0,0,1),Preços!$C$3)</f>
        <v>6.1798000000000002</v>
      </c>
    </row>
    <row r="81" spans="5:6" x14ac:dyDescent="0.25">
      <c r="E81" s="147" t="e">
        <f>DATE(YEAR(#REF!),MONTH(#REF!),1)</f>
        <v>#REF!</v>
      </c>
      <c r="F81" s="155" cm="1">
        <f t="array" aca="1" ref="F81" ca="1">IFERROR(_xlfn.STOCKHISTORY("USD/BRL",E81,E81,0,0,1),Preços!$C$3)</f>
        <v>6.1798000000000002</v>
      </c>
    </row>
    <row r="82" spans="5:6" x14ac:dyDescent="0.25">
      <c r="E82" s="147" t="e">
        <f>DATE(YEAR(#REF!),MONTH(#REF!),1)</f>
        <v>#REF!</v>
      </c>
      <c r="F82" s="155" cm="1">
        <f t="array" aca="1" ref="F82" ca="1">IFERROR(_xlfn.STOCKHISTORY("USD/BRL",E82,E82,0,0,1),Preços!$C$3)</f>
        <v>6.1798000000000002</v>
      </c>
    </row>
    <row r="83" spans="5:6" x14ac:dyDescent="0.25">
      <c r="E83" s="147" t="e">
        <f>DATE(YEAR(#REF!),MONTH(#REF!),1)</f>
        <v>#REF!</v>
      </c>
      <c r="F83" s="155" cm="1">
        <f t="array" aca="1" ref="F83" ca="1">IFERROR(_xlfn.STOCKHISTORY("USD/BRL",E83,E83,0,0,1),Preços!$C$3)</f>
        <v>6.1798000000000002</v>
      </c>
    </row>
    <row r="84" spans="5:6" x14ac:dyDescent="0.25">
      <c r="E84" s="147" t="e">
        <f>DATE(YEAR(#REF!),MONTH(#REF!),1)</f>
        <v>#REF!</v>
      </c>
      <c r="F84" s="155" cm="1">
        <f t="array" aca="1" ref="F84" ca="1">IFERROR(_xlfn.STOCKHISTORY("USD/BRL",E84,E84,0,0,1),Preços!$C$3)</f>
        <v>6.1798000000000002</v>
      </c>
    </row>
    <row r="85" spans="5:6" x14ac:dyDescent="0.25">
      <c r="E85" s="147" t="e">
        <f>DATE(YEAR(#REF!),MONTH(#REF!),1)</f>
        <v>#REF!</v>
      </c>
      <c r="F85" s="155" cm="1">
        <f t="array" aca="1" ref="F85" ca="1">IFERROR(_xlfn.STOCKHISTORY("USD/BRL",E85,E85,0,0,1),Preços!$C$3)</f>
        <v>6.1798000000000002</v>
      </c>
    </row>
    <row r="86" spans="5:6" x14ac:dyDescent="0.25">
      <c r="E86" s="147" t="e">
        <f>DATE(YEAR(#REF!),MONTH(#REF!),1)</f>
        <v>#REF!</v>
      </c>
      <c r="F86" s="155" cm="1">
        <f t="array" aca="1" ref="F86" ca="1">IFERROR(_xlfn.STOCKHISTORY("USD/BRL",E86,E86,0,0,1),Preços!$C$3)</f>
        <v>6.1798000000000002</v>
      </c>
    </row>
    <row r="87" spans="5:6" x14ac:dyDescent="0.25">
      <c r="E87" s="147" t="e">
        <f>DATE(YEAR(#REF!),MONTH(#REF!),1)</f>
        <v>#REF!</v>
      </c>
      <c r="F87" s="155" cm="1">
        <f t="array" aca="1" ref="F87" ca="1">IFERROR(_xlfn.STOCKHISTORY("USD/BRL",E87,E87,0,0,1),Preços!$C$3)</f>
        <v>6.1798000000000002</v>
      </c>
    </row>
    <row r="88" spans="5:6" x14ac:dyDescent="0.25">
      <c r="E88" s="147" t="e">
        <f>DATE(YEAR(#REF!),MONTH(#REF!),1)</f>
        <v>#REF!</v>
      </c>
      <c r="F88" s="155" cm="1">
        <f t="array" aca="1" ref="F88" ca="1">IFERROR(_xlfn.STOCKHISTORY("USD/BRL",E88,E88,0,0,1),Preços!$C$3)</f>
        <v>6.1798000000000002</v>
      </c>
    </row>
    <row r="89" spans="5:6" x14ac:dyDescent="0.25">
      <c r="E89" s="147" t="e">
        <f>DATE(YEAR(#REF!),MONTH(#REF!),1)</f>
        <v>#REF!</v>
      </c>
      <c r="F89" s="155" cm="1">
        <f t="array" aca="1" ref="F89" ca="1">IFERROR(_xlfn.STOCKHISTORY("USD/BRL",E89,E89,0,0,1),Preços!$C$3)</f>
        <v>6.1798000000000002</v>
      </c>
    </row>
    <row r="90" spans="5:6" x14ac:dyDescent="0.25">
      <c r="E90" s="147" t="e">
        <f>DATE(YEAR(#REF!),MONTH(#REF!),1)</f>
        <v>#REF!</v>
      </c>
      <c r="F90" s="155" cm="1">
        <f t="array" aca="1" ref="F90" ca="1">IFERROR(_xlfn.STOCKHISTORY("USD/BRL",E90,E90,0,0,1),Preços!$C$3)</f>
        <v>6.1798000000000002</v>
      </c>
    </row>
    <row r="91" spans="5:6" x14ac:dyDescent="0.25">
      <c r="E91" s="147" t="e">
        <f>DATE(YEAR(#REF!),MONTH(#REF!),1)</f>
        <v>#REF!</v>
      </c>
      <c r="F91" s="155" cm="1">
        <f t="array" aca="1" ref="F91" ca="1">IFERROR(_xlfn.STOCKHISTORY("USD/BRL",E91,E91,0,0,1),Preços!$C$3)</f>
        <v>6.1798000000000002</v>
      </c>
    </row>
    <row r="92" spans="5:6" x14ac:dyDescent="0.25">
      <c r="E92" s="147" t="e">
        <f>DATE(YEAR(#REF!),MONTH(#REF!),1)</f>
        <v>#REF!</v>
      </c>
      <c r="F92" s="155" cm="1">
        <f t="array" aca="1" ref="F92" ca="1">IFERROR(_xlfn.STOCKHISTORY("USD/BRL",E92,E92,0,0,1),Preços!$C$3)</f>
        <v>6.1798000000000002</v>
      </c>
    </row>
    <row r="93" spans="5:6" x14ac:dyDescent="0.25">
      <c r="E93" s="147" t="e">
        <f>DATE(YEAR(#REF!),MONTH(#REF!),1)</f>
        <v>#REF!</v>
      </c>
      <c r="F93" s="155" cm="1">
        <f t="array" aca="1" ref="F93" ca="1">IFERROR(_xlfn.STOCKHISTORY("USD/BRL",E93,E93,0,0,1),Preços!$C$3)</f>
        <v>6.1798000000000002</v>
      </c>
    </row>
    <row r="94" spans="5:6" x14ac:dyDescent="0.25">
      <c r="E94" s="147" t="e">
        <f>DATE(YEAR(#REF!),MONTH(#REF!),1)</f>
        <v>#REF!</v>
      </c>
      <c r="F94" s="155" cm="1">
        <f t="array" aca="1" ref="F94" ca="1">IFERROR(_xlfn.STOCKHISTORY("USD/BRL",E94,E94,0,0,1),Preços!$C$3)</f>
        <v>6.1798000000000002</v>
      </c>
    </row>
    <row r="95" spans="5:6" x14ac:dyDescent="0.25">
      <c r="E95" s="147" t="e">
        <f>DATE(YEAR(#REF!),MONTH(#REF!),1)</f>
        <v>#REF!</v>
      </c>
      <c r="F95" s="155" cm="1">
        <f t="array" aca="1" ref="F95" ca="1">IFERROR(_xlfn.STOCKHISTORY("USD/BRL",E95,E95,0,0,1),Preços!$C$3)</f>
        <v>6.1798000000000002</v>
      </c>
    </row>
    <row r="96" spans="5:6" x14ac:dyDescent="0.25">
      <c r="E96" s="147" t="e">
        <f>DATE(YEAR(#REF!),MONTH(#REF!),1)</f>
        <v>#REF!</v>
      </c>
      <c r="F96" s="155" cm="1">
        <f t="array" aca="1" ref="F96" ca="1">IFERROR(_xlfn.STOCKHISTORY("USD/BRL",E96,E96,0,0,1),Preços!$C$3)</f>
        <v>6.1798000000000002</v>
      </c>
    </row>
    <row r="97" spans="5:6" x14ac:dyDescent="0.25">
      <c r="E97" s="147" t="e">
        <f>DATE(YEAR(#REF!),MONTH(#REF!),1)</f>
        <v>#REF!</v>
      </c>
      <c r="F97" s="155" cm="1">
        <f t="array" aca="1" ref="F97" ca="1">IFERROR(_xlfn.STOCKHISTORY("USD/BRL",E97,E97,0,0,1),Preços!$C$3)</f>
        <v>6.1798000000000002</v>
      </c>
    </row>
    <row r="98" spans="5:6" x14ac:dyDescent="0.25">
      <c r="E98" s="147">
        <f>DATE(YEAR(D4),MONTH(D4),1)</f>
        <v>1</v>
      </c>
      <c r="F98" s="155" cm="1">
        <f t="array" aca="1" ref="F98" ca="1">IFERROR(_xlfn.STOCKHISTORY("USD/BRL",E98,E98,0,0,1),Preços!$C$3)</f>
        <v>6.1798000000000002</v>
      </c>
    </row>
    <row r="99" spans="5:6" x14ac:dyDescent="0.25">
      <c r="E99" s="147">
        <f>DATE(YEAR(D5),MONTH(D5),1)</f>
        <v>1</v>
      </c>
      <c r="F99" s="155" cm="1">
        <f t="array" aca="1" ref="F99" ca="1">IFERROR(_xlfn.STOCKHISTORY("USD/BRL",E99,E99,0,0,1),Preços!$C$3)</f>
        <v>6.1798000000000002</v>
      </c>
    </row>
    <row r="100" spans="5:6" x14ac:dyDescent="0.25">
      <c r="E100" s="147">
        <f>DATE(YEAR(D6),MONTH(D6),1)</f>
        <v>1</v>
      </c>
      <c r="F100" s="155" cm="1">
        <f t="array" aca="1" ref="F100" ca="1">IFERROR(_xlfn.STOCKHISTORY("USD/BRL",E100,E100,0,0,1),Preços!$C$3)</f>
        <v>6.1798000000000002</v>
      </c>
    </row>
    <row r="101" spans="5:6" x14ac:dyDescent="0.25">
      <c r="E101" s="147">
        <f>DATE(YEAR(D7),MONTH(D7),1)</f>
        <v>1</v>
      </c>
      <c r="F101" s="155" cm="1">
        <f t="array" aca="1" ref="F101" ca="1">IFERROR(_xlfn.STOCKHISTORY("USD/BRL",E101,E101,0,0,1),Preços!$C$3)</f>
        <v>6.1798000000000002</v>
      </c>
    </row>
    <row r="102" spans="5:6" x14ac:dyDescent="0.25">
      <c r="E102" s="147">
        <f>DATE(YEAR(D8),MONTH(D8),1)</f>
        <v>1</v>
      </c>
      <c r="F102" s="155" cm="1">
        <f t="array" aca="1" ref="F102" ca="1">IFERROR(_xlfn.STOCKHISTORY("USD/BRL",E102,E102,0,0,1),Preços!$C$3)</f>
        <v>6.1798000000000002</v>
      </c>
    </row>
    <row r="103" spans="5:6" x14ac:dyDescent="0.25">
      <c r="E103" s="147">
        <f>DATE(YEAR(D9),MONTH(D9),1)</f>
        <v>1</v>
      </c>
      <c r="F103" s="155" cm="1">
        <f t="array" aca="1" ref="F103" ca="1">IFERROR(_xlfn.STOCKHISTORY("USD/BRL",E103,E103,0,0,1),Preços!$C$3)</f>
        <v>6.1798000000000002</v>
      </c>
    </row>
    <row r="104" spans="5:6" x14ac:dyDescent="0.25">
      <c r="E104" s="147">
        <f>DATE(YEAR(D10),MONTH(D10),1)</f>
        <v>1</v>
      </c>
      <c r="F104" s="155" cm="1">
        <f t="array" aca="1" ref="F104" ca="1">IFERROR(_xlfn.STOCKHISTORY("USD/BRL",E104,E104,0,0,1),Preços!$C$3)</f>
        <v>6.1798000000000002</v>
      </c>
    </row>
    <row r="105" spans="5:6" x14ac:dyDescent="0.25">
      <c r="E105" s="147">
        <f>DATE(YEAR(D11),MONTH(D11),1)</f>
        <v>1</v>
      </c>
      <c r="F105" s="155" cm="1">
        <f t="array" aca="1" ref="F105" ca="1">IFERROR(_xlfn.STOCKHISTORY("USD/BRL",E105,E105,0,0,1),Preços!$C$3)</f>
        <v>6.1798000000000002</v>
      </c>
    </row>
    <row r="106" spans="5:6" x14ac:dyDescent="0.25">
      <c r="E106" s="147">
        <f>DATE(YEAR(D12),MONTH(D12),1)</f>
        <v>1</v>
      </c>
      <c r="F106" s="155" cm="1">
        <f t="array" aca="1" ref="F106" ca="1">IFERROR(_xlfn.STOCKHISTORY("USD/BRL",E106,E106,0,0,1),Preços!$C$3)</f>
        <v>6.1798000000000002</v>
      </c>
    </row>
    <row r="107" spans="5:6" x14ac:dyDescent="0.25">
      <c r="E107" s="147">
        <f>DATE(YEAR(D13),MONTH(D13),1)</f>
        <v>1</v>
      </c>
      <c r="F107" s="155" cm="1">
        <f t="array" aca="1" ref="F107" ca="1">IFERROR(_xlfn.STOCKHISTORY("USD/BRL",E107,E107,0,0,1),Preços!$C$3)</f>
        <v>6.1798000000000002</v>
      </c>
    </row>
    <row r="108" spans="5:6" x14ac:dyDescent="0.25">
      <c r="E108" s="147">
        <f>DATE(YEAR(D14),MONTH(D14),1)</f>
        <v>1</v>
      </c>
      <c r="F108" s="155" cm="1">
        <f t="array" aca="1" ref="F108" ca="1">IFERROR(_xlfn.STOCKHISTORY("USD/BRL",E108,E108,0,0,1),Preços!$C$3)</f>
        <v>6.1798000000000002</v>
      </c>
    </row>
    <row r="109" spans="5:6" x14ac:dyDescent="0.25">
      <c r="E109" s="147">
        <f>DATE(YEAR(D15),MONTH(D15),1)</f>
        <v>1</v>
      </c>
      <c r="F109" s="155" cm="1">
        <f t="array" aca="1" ref="F109" ca="1">IFERROR(_xlfn.STOCKHISTORY("USD/BRL",E109,E109,0,0,1),Preços!$C$3)</f>
        <v>6.1798000000000002</v>
      </c>
    </row>
    <row r="110" spans="5:6" x14ac:dyDescent="0.25">
      <c r="E110" s="147">
        <f>DATE(YEAR(D16),MONTH(D16),1)</f>
        <v>1</v>
      </c>
      <c r="F110" s="155" cm="1">
        <f t="array" aca="1" ref="F110" ca="1">IFERROR(_xlfn.STOCKHISTORY("USD/BRL",E110,E110,0,0,1),Preços!$C$3)</f>
        <v>6.1798000000000002</v>
      </c>
    </row>
    <row r="111" spans="5:6" x14ac:dyDescent="0.25">
      <c r="E111" s="147">
        <f>DATE(YEAR(D17),MONTH(D17),1)</f>
        <v>1</v>
      </c>
      <c r="F111" s="155" cm="1">
        <f t="array" aca="1" ref="F111" ca="1">IFERROR(_xlfn.STOCKHISTORY("USD/BRL",E111,E111,0,0,1),Preços!$C$3)</f>
        <v>6.1798000000000002</v>
      </c>
    </row>
    <row r="112" spans="5:6" x14ac:dyDescent="0.25">
      <c r="E112" s="147">
        <f>DATE(YEAR(D18),MONTH(D18),1)</f>
        <v>1</v>
      </c>
      <c r="F112" s="155" cm="1">
        <f t="array" aca="1" ref="F112" ca="1">IFERROR(_xlfn.STOCKHISTORY("USD/BRL",E112,E112,0,0,1),Preços!$C$3)</f>
        <v>6.1798000000000002</v>
      </c>
    </row>
    <row r="113" spans="5:6" x14ac:dyDescent="0.25">
      <c r="E113" s="147">
        <f>DATE(YEAR(D19),MONTH(D19),1)</f>
        <v>1</v>
      </c>
      <c r="F113" s="155" cm="1">
        <f t="array" aca="1" ref="F113" ca="1">IFERROR(_xlfn.STOCKHISTORY("USD/BRL",E113,E113,0,0,1),Preços!$C$3)</f>
        <v>6.1798000000000002</v>
      </c>
    </row>
    <row r="114" spans="5:6" x14ac:dyDescent="0.25">
      <c r="E114" s="147">
        <f>DATE(YEAR(D20),MONTH(D20),1)</f>
        <v>1</v>
      </c>
      <c r="F114" s="155" cm="1">
        <f t="array" aca="1" ref="F114" ca="1">IFERROR(_xlfn.STOCKHISTORY("USD/BRL",E114,E114,0,0,1),Preços!$C$3)</f>
        <v>6.1798000000000002</v>
      </c>
    </row>
    <row r="115" spans="5:6" x14ac:dyDescent="0.25">
      <c r="E115" s="147">
        <f>DATE(YEAR(D21),MONTH(D21),1)</f>
        <v>1</v>
      </c>
      <c r="F115" s="155" cm="1">
        <f t="array" aca="1" ref="F115" ca="1">IFERROR(_xlfn.STOCKHISTORY("USD/BRL",E115,E115,0,0,1),Preços!$C$3)</f>
        <v>6.1798000000000002</v>
      </c>
    </row>
    <row r="116" spans="5:6" x14ac:dyDescent="0.25">
      <c r="E116" s="147">
        <f>DATE(YEAR(D22),MONTH(D22),1)</f>
        <v>1</v>
      </c>
      <c r="F116" s="155" cm="1">
        <f t="array" aca="1" ref="F116" ca="1">IFERROR(_xlfn.STOCKHISTORY("USD/BRL",E116,E116,0,0,1),Preços!$C$3)</f>
        <v>6.1798000000000002</v>
      </c>
    </row>
    <row r="117" spans="5:6" x14ac:dyDescent="0.25">
      <c r="E117" s="147">
        <f>DATE(YEAR(D23),MONTH(D23),1)</f>
        <v>1</v>
      </c>
      <c r="F117" s="155" cm="1">
        <f t="array" aca="1" ref="F117" ca="1">IFERROR(_xlfn.STOCKHISTORY("USD/BRL",E117,E117,0,0,1),Preços!$C$3)</f>
        <v>6.1798000000000002</v>
      </c>
    </row>
    <row r="118" spans="5:6" x14ac:dyDescent="0.25">
      <c r="E118" s="147">
        <f>DATE(YEAR(D24),MONTH(D24),1)</f>
        <v>1</v>
      </c>
      <c r="F118" s="155" cm="1">
        <f t="array" aca="1" ref="F118" ca="1">IFERROR(_xlfn.STOCKHISTORY("USD/BRL",E118,E118,0,0,1),Preços!$C$3)</f>
        <v>6.1798000000000002</v>
      </c>
    </row>
    <row r="119" spans="5:6" x14ac:dyDescent="0.25">
      <c r="E119" s="147">
        <f>DATE(YEAR(D25),MONTH(D25),1)</f>
        <v>1</v>
      </c>
      <c r="F119" s="155" cm="1">
        <f t="array" aca="1" ref="F119" ca="1">IFERROR(_xlfn.STOCKHISTORY("USD/BRL",E119,E119,0,0,1),Preços!$C$3)</f>
        <v>6.1798000000000002</v>
      </c>
    </row>
    <row r="120" spans="5:6" x14ac:dyDescent="0.25">
      <c r="E120" s="147">
        <f>DATE(YEAR(D26),MONTH(D26),1)</f>
        <v>1</v>
      </c>
      <c r="F120" s="155" cm="1">
        <f t="array" aca="1" ref="F120" ca="1">IFERROR(_xlfn.STOCKHISTORY("USD/BRL",E120,E120,0,0,1),Preços!$C$3)</f>
        <v>6.1798000000000002</v>
      </c>
    </row>
    <row r="121" spans="5:6" x14ac:dyDescent="0.25">
      <c r="E121" s="147">
        <f>DATE(YEAR(D27),MONTH(D27),1)</f>
        <v>1</v>
      </c>
      <c r="F121" s="155" cm="1">
        <f t="array" aca="1" ref="F121" ca="1">IFERROR(_xlfn.STOCKHISTORY("USD/BRL",E121,E121,0,0,1),Preços!$C$3)</f>
        <v>6.1798000000000002</v>
      </c>
    </row>
    <row r="122" spans="5:6" x14ac:dyDescent="0.25">
      <c r="E122" s="147">
        <f>DATE(YEAR(D28),MONTH(D28),1)</f>
        <v>1</v>
      </c>
      <c r="F122" s="155" cm="1">
        <f t="array" aca="1" ref="F122" ca="1">IFERROR(_xlfn.STOCKHISTORY("USD/BRL",E122,E122,0,0,1),Preços!$C$3)</f>
        <v>6.1798000000000002</v>
      </c>
    </row>
    <row r="123" spans="5:6" x14ac:dyDescent="0.25">
      <c r="E123" s="147">
        <f>DATE(YEAR(D29),MONTH(D29),1)</f>
        <v>1</v>
      </c>
      <c r="F123" s="155" cm="1">
        <f t="array" aca="1" ref="F123" ca="1">IFERROR(_xlfn.STOCKHISTORY("USD/BRL",E123,E123,0,0,1),Preços!$C$3)</f>
        <v>6.1798000000000002</v>
      </c>
    </row>
    <row r="124" spans="5:6" x14ac:dyDescent="0.25">
      <c r="E124" s="147">
        <f>DATE(YEAR(D30),MONTH(D30),1)</f>
        <v>1</v>
      </c>
      <c r="F124" s="155" cm="1">
        <f t="array" aca="1" ref="F124" ca="1">IFERROR(_xlfn.STOCKHISTORY("USD/BRL",E124,E124,0,0,1),Preços!$C$3)</f>
        <v>6.1798000000000002</v>
      </c>
    </row>
    <row r="125" spans="5:6" x14ac:dyDescent="0.25">
      <c r="E125" s="147">
        <f>DATE(YEAR(D31),MONTH(D31),1)</f>
        <v>1</v>
      </c>
      <c r="F125" s="155" cm="1">
        <f t="array" aca="1" ref="F125" ca="1">IFERROR(_xlfn.STOCKHISTORY("USD/BRL",E125,E125,0,0,1),Preços!$C$3)</f>
        <v>6.1798000000000002</v>
      </c>
    </row>
    <row r="126" spans="5:6" x14ac:dyDescent="0.25">
      <c r="E126" s="147">
        <f>DATE(YEAR(D32),MONTH(D32),1)</f>
        <v>1</v>
      </c>
      <c r="F126" s="155" cm="1">
        <f t="array" aca="1" ref="F126" ca="1">IFERROR(_xlfn.STOCKHISTORY("USD/BRL",E126,E126,0,0,1),Preços!$C$3)</f>
        <v>6.1798000000000002</v>
      </c>
    </row>
    <row r="127" spans="5:6" x14ac:dyDescent="0.25">
      <c r="E127" s="147">
        <f>DATE(YEAR(D33),MONTH(D33),1)</f>
        <v>1</v>
      </c>
      <c r="F127" s="155" cm="1">
        <f t="array" aca="1" ref="F127" ca="1">IFERROR(_xlfn.STOCKHISTORY("USD/BRL",E127,E127,0,0,1),Preços!$C$3)</f>
        <v>6.1798000000000002</v>
      </c>
    </row>
    <row r="128" spans="5:6" x14ac:dyDescent="0.25">
      <c r="E128" s="147">
        <f>DATE(YEAR(D34),MONTH(D34),1)</f>
        <v>1</v>
      </c>
      <c r="F128" s="155" cm="1">
        <f t="array" aca="1" ref="F128" ca="1">IFERROR(_xlfn.STOCKHISTORY("USD/BRL",E128,E128,0,0,1),Preços!$C$3)</f>
        <v>6.1798000000000002</v>
      </c>
    </row>
    <row r="129" spans="5:6" x14ac:dyDescent="0.25">
      <c r="E129" s="147">
        <f>DATE(YEAR(D35),MONTH(D35),1)</f>
        <v>1</v>
      </c>
      <c r="F129" s="155" cm="1">
        <f t="array" aca="1" ref="F129" ca="1">IFERROR(_xlfn.STOCKHISTORY("USD/BRL",E129,E129,0,0,1),Preços!$C$3)</f>
        <v>6.1798000000000002</v>
      </c>
    </row>
    <row r="130" spans="5:6" x14ac:dyDescent="0.25">
      <c r="E130" s="147">
        <f>DATE(YEAR(D36),MONTH(D36),1)</f>
        <v>1</v>
      </c>
      <c r="F130" s="155" cm="1">
        <f t="array" aca="1" ref="F130" ca="1">IFERROR(_xlfn.STOCKHISTORY("USD/BRL",E130,E130,0,0,1),Preços!$C$3)</f>
        <v>6.1798000000000002</v>
      </c>
    </row>
    <row r="131" spans="5:6" x14ac:dyDescent="0.25">
      <c r="E131" s="147">
        <f>DATE(YEAR(D37),MONTH(D37),1)</f>
        <v>1</v>
      </c>
      <c r="F131" s="155" cm="1">
        <f t="array" aca="1" ref="F131" ca="1">IFERROR(_xlfn.STOCKHISTORY("USD/BRL",E131,E131,0,0,1),Preços!$C$3)</f>
        <v>6.1798000000000002</v>
      </c>
    </row>
    <row r="132" spans="5:6" x14ac:dyDescent="0.25">
      <c r="E132" s="147">
        <f t="shared" ref="E132:E195" si="1">DATE(YEAR(D38),MONTH(D38),1)</f>
        <v>1</v>
      </c>
      <c r="F132" s="155" cm="1">
        <f t="array" aca="1" ref="F132" ca="1">IFERROR(_xlfn.STOCKHISTORY("USD/BRL",E132,E132,0,0,1),Preços!$C$3)</f>
        <v>6.1798000000000002</v>
      </c>
    </row>
    <row r="133" spans="5:6" x14ac:dyDescent="0.25">
      <c r="E133" s="147">
        <f t="shared" si="1"/>
        <v>1</v>
      </c>
      <c r="F133" s="155" cm="1">
        <f t="array" aca="1" ref="F133" ca="1">IFERROR(_xlfn.STOCKHISTORY("USD/BRL",E133,E133,0,0,1),Preços!$C$3)</f>
        <v>6.1798000000000002</v>
      </c>
    </row>
    <row r="134" spans="5:6" x14ac:dyDescent="0.25">
      <c r="E134" s="147">
        <f t="shared" si="1"/>
        <v>1</v>
      </c>
      <c r="F134" s="155" cm="1">
        <f t="array" aca="1" ref="F134" ca="1">IFERROR(_xlfn.STOCKHISTORY("USD/BRL",E134,E134,0,0,1),Preços!$C$3)</f>
        <v>6.1798000000000002</v>
      </c>
    </row>
    <row r="135" spans="5:6" x14ac:dyDescent="0.25">
      <c r="E135" s="147">
        <f t="shared" si="1"/>
        <v>1</v>
      </c>
      <c r="F135" s="155" cm="1">
        <f t="array" aca="1" ref="F135" ca="1">IFERROR(_xlfn.STOCKHISTORY("USD/BRL",E135,E135,0,0,1),Preços!$C$3)</f>
        <v>6.1798000000000002</v>
      </c>
    </row>
    <row r="136" spans="5:6" x14ac:dyDescent="0.25">
      <c r="E136" s="147">
        <f t="shared" si="1"/>
        <v>1</v>
      </c>
      <c r="F136" s="155" cm="1">
        <f t="array" aca="1" ref="F136" ca="1">IFERROR(_xlfn.STOCKHISTORY("USD/BRL",E136,E136,0,0,1),Preços!$C$3)</f>
        <v>6.1798000000000002</v>
      </c>
    </row>
    <row r="137" spans="5:6" x14ac:dyDescent="0.25">
      <c r="E137" s="147">
        <f t="shared" si="1"/>
        <v>1</v>
      </c>
      <c r="F137" s="155" cm="1">
        <f t="array" aca="1" ref="F137" ca="1">IFERROR(_xlfn.STOCKHISTORY("USD/BRL",E137,E137,0,0,1),Preços!$C$3)</f>
        <v>6.1798000000000002</v>
      </c>
    </row>
    <row r="138" spans="5:6" x14ac:dyDescent="0.25">
      <c r="E138" s="147">
        <f t="shared" si="1"/>
        <v>1</v>
      </c>
      <c r="F138" s="155" cm="1">
        <f t="array" aca="1" ref="F138" ca="1">IFERROR(_xlfn.STOCKHISTORY("USD/BRL",E138,E138,0,0,1),Preços!$C$3)</f>
        <v>6.1798000000000002</v>
      </c>
    </row>
    <row r="139" spans="5:6" x14ac:dyDescent="0.25">
      <c r="E139" s="147">
        <f t="shared" si="1"/>
        <v>1</v>
      </c>
      <c r="F139" s="155" cm="1">
        <f t="array" aca="1" ref="F139" ca="1">IFERROR(_xlfn.STOCKHISTORY("USD/BRL",E139,E139,0,0,1),Preços!$C$3)</f>
        <v>6.1798000000000002</v>
      </c>
    </row>
    <row r="140" spans="5:6" x14ac:dyDescent="0.25">
      <c r="E140" s="147">
        <f t="shared" si="1"/>
        <v>1</v>
      </c>
      <c r="F140" s="155" cm="1">
        <f t="array" aca="1" ref="F140" ca="1">IFERROR(_xlfn.STOCKHISTORY("USD/BRL",E140,E140,0,0,1),Preços!$C$3)</f>
        <v>6.1798000000000002</v>
      </c>
    </row>
    <row r="141" spans="5:6" x14ac:dyDescent="0.25">
      <c r="E141" s="147">
        <f t="shared" si="1"/>
        <v>1</v>
      </c>
      <c r="F141" s="155" cm="1">
        <f t="array" aca="1" ref="F141" ca="1">IFERROR(_xlfn.STOCKHISTORY("USD/BRL",E141,E141,0,0,1),Preços!$C$3)</f>
        <v>6.1798000000000002</v>
      </c>
    </row>
    <row r="142" spans="5:6" x14ac:dyDescent="0.25">
      <c r="E142" s="147">
        <f t="shared" si="1"/>
        <v>1</v>
      </c>
      <c r="F142" s="155" cm="1">
        <f t="array" aca="1" ref="F142" ca="1">IFERROR(_xlfn.STOCKHISTORY("USD/BRL",E142,E142,0,0,1),Preços!$C$3)</f>
        <v>6.1798000000000002</v>
      </c>
    </row>
    <row r="143" spans="5:6" x14ac:dyDescent="0.25">
      <c r="E143" s="147">
        <f t="shared" si="1"/>
        <v>1</v>
      </c>
      <c r="F143" s="155" cm="1">
        <f t="array" aca="1" ref="F143" ca="1">IFERROR(_xlfn.STOCKHISTORY("USD/BRL",E143,E143,0,0,1),Preços!$C$3)</f>
        <v>6.1798000000000002</v>
      </c>
    </row>
    <row r="144" spans="5:6" x14ac:dyDescent="0.25">
      <c r="E144" s="147">
        <f t="shared" si="1"/>
        <v>1</v>
      </c>
      <c r="F144" s="155" cm="1">
        <f t="array" aca="1" ref="F144" ca="1">IFERROR(_xlfn.STOCKHISTORY("USD/BRL",E144,E144,0,0,1),Preços!$C$3)</f>
        <v>6.1798000000000002</v>
      </c>
    </row>
    <row r="145" spans="5:6" x14ac:dyDescent="0.25">
      <c r="E145" s="147">
        <f t="shared" si="1"/>
        <v>1</v>
      </c>
      <c r="F145" s="155" cm="1">
        <f t="array" aca="1" ref="F145" ca="1">IFERROR(_xlfn.STOCKHISTORY("USD/BRL",E145,E145,0,0,1),Preços!$C$3)</f>
        <v>6.1798000000000002</v>
      </c>
    </row>
    <row r="146" spans="5:6" x14ac:dyDescent="0.25">
      <c r="E146" s="147">
        <f t="shared" si="1"/>
        <v>1</v>
      </c>
      <c r="F146" s="155" cm="1">
        <f t="array" aca="1" ref="F146" ca="1">IFERROR(_xlfn.STOCKHISTORY("USD/BRL",E146,E146,0,0,1),Preços!$C$3)</f>
        <v>6.1798000000000002</v>
      </c>
    </row>
    <row r="147" spans="5:6" x14ac:dyDescent="0.25">
      <c r="E147" s="147">
        <f t="shared" si="1"/>
        <v>1</v>
      </c>
      <c r="F147" s="155" cm="1">
        <f t="array" aca="1" ref="F147" ca="1">IFERROR(_xlfn.STOCKHISTORY("USD/BRL",E147,E147,0,0,1),Preços!$C$3)</f>
        <v>6.1798000000000002</v>
      </c>
    </row>
    <row r="148" spans="5:6" x14ac:dyDescent="0.25">
      <c r="E148" s="147">
        <f t="shared" si="1"/>
        <v>1</v>
      </c>
      <c r="F148" s="155" cm="1">
        <f t="array" aca="1" ref="F148" ca="1">IFERROR(_xlfn.STOCKHISTORY("USD/BRL",E148,E148,0,0,1),Preços!$C$3)</f>
        <v>6.1798000000000002</v>
      </c>
    </row>
    <row r="149" spans="5:6" x14ac:dyDescent="0.25">
      <c r="E149" s="147">
        <f t="shared" si="1"/>
        <v>1</v>
      </c>
      <c r="F149" s="155" cm="1">
        <f t="array" aca="1" ref="F149" ca="1">IFERROR(_xlfn.STOCKHISTORY("USD/BRL",E149,E149,0,0,1),Preços!$C$3)</f>
        <v>6.1798000000000002</v>
      </c>
    </row>
    <row r="150" spans="5:6" x14ac:dyDescent="0.25">
      <c r="E150" s="147">
        <f t="shared" si="1"/>
        <v>1</v>
      </c>
      <c r="F150" s="155" cm="1">
        <f t="array" aca="1" ref="F150" ca="1">IFERROR(_xlfn.STOCKHISTORY("USD/BRL",E150,E150,0,0,1),Preços!$C$3)</f>
        <v>6.1798000000000002</v>
      </c>
    </row>
    <row r="151" spans="5:6" x14ac:dyDescent="0.25">
      <c r="E151" s="147">
        <f t="shared" si="1"/>
        <v>1</v>
      </c>
      <c r="F151" s="155" cm="1">
        <f t="array" aca="1" ref="F151" ca="1">IFERROR(_xlfn.STOCKHISTORY("USD/BRL",E151,E151,0,0,1),Preços!$C$3)</f>
        <v>6.1798000000000002</v>
      </c>
    </row>
    <row r="152" spans="5:6" x14ac:dyDescent="0.25">
      <c r="E152" s="147">
        <f t="shared" si="1"/>
        <v>1</v>
      </c>
      <c r="F152" s="155" cm="1">
        <f t="array" aca="1" ref="F152" ca="1">IFERROR(_xlfn.STOCKHISTORY("USD/BRL",E152,E152,0,0,1),Preços!$C$3)</f>
        <v>6.1798000000000002</v>
      </c>
    </row>
    <row r="153" spans="5:6" x14ac:dyDescent="0.25">
      <c r="E153" s="147">
        <f t="shared" si="1"/>
        <v>1</v>
      </c>
      <c r="F153" s="155" cm="1">
        <f t="array" aca="1" ref="F153" ca="1">IFERROR(_xlfn.STOCKHISTORY("USD/BRL",E153,E153,0,0,1),Preços!$C$3)</f>
        <v>6.1798000000000002</v>
      </c>
    </row>
    <row r="154" spans="5:6" x14ac:dyDescent="0.25">
      <c r="E154" s="147">
        <f t="shared" si="1"/>
        <v>1</v>
      </c>
      <c r="F154" s="155" cm="1">
        <f t="array" aca="1" ref="F154" ca="1">IFERROR(_xlfn.STOCKHISTORY("USD/BRL",E154,E154,0,0,1),Preços!$C$3)</f>
        <v>6.1798000000000002</v>
      </c>
    </row>
    <row r="155" spans="5:6" x14ac:dyDescent="0.25">
      <c r="E155" s="147">
        <f t="shared" si="1"/>
        <v>1</v>
      </c>
      <c r="F155" s="155" cm="1">
        <f t="array" aca="1" ref="F155" ca="1">IFERROR(_xlfn.STOCKHISTORY("USD/BRL",E155,E155,0,0,1),Preços!$C$3)</f>
        <v>6.1798000000000002</v>
      </c>
    </row>
    <row r="156" spans="5:6" x14ac:dyDescent="0.25">
      <c r="E156" s="147">
        <f t="shared" si="1"/>
        <v>1</v>
      </c>
      <c r="F156" s="155" cm="1">
        <f t="array" aca="1" ref="F156" ca="1">IFERROR(_xlfn.STOCKHISTORY("USD/BRL",E156,E156,0,0,1),Preços!$C$3)</f>
        <v>6.1798000000000002</v>
      </c>
    </row>
    <row r="157" spans="5:6" x14ac:dyDescent="0.25">
      <c r="E157" s="147">
        <f t="shared" si="1"/>
        <v>1</v>
      </c>
      <c r="F157" s="155" cm="1">
        <f t="array" aca="1" ref="F157" ca="1">IFERROR(_xlfn.STOCKHISTORY("USD/BRL",E157,E157,0,0,1),Preços!$C$3)</f>
        <v>6.1798000000000002</v>
      </c>
    </row>
    <row r="158" spans="5:6" x14ac:dyDescent="0.25">
      <c r="E158" s="147">
        <f t="shared" si="1"/>
        <v>1</v>
      </c>
      <c r="F158" s="155" cm="1">
        <f t="array" aca="1" ref="F158" ca="1">IFERROR(_xlfn.STOCKHISTORY("USD/BRL",E158,E158,0,0,1),Preços!$C$3)</f>
        <v>6.1798000000000002</v>
      </c>
    </row>
    <row r="159" spans="5:6" x14ac:dyDescent="0.25">
      <c r="E159" s="147">
        <f t="shared" si="1"/>
        <v>1</v>
      </c>
      <c r="F159" s="155" cm="1">
        <f t="array" aca="1" ref="F159" ca="1">IFERROR(_xlfn.STOCKHISTORY("USD/BRL",E159,E159,0,0,1),Preços!$C$3)</f>
        <v>6.1798000000000002</v>
      </c>
    </row>
    <row r="160" spans="5:6" x14ac:dyDescent="0.25">
      <c r="E160" s="147">
        <f t="shared" si="1"/>
        <v>1</v>
      </c>
      <c r="F160" s="155" cm="1">
        <f t="array" aca="1" ref="F160" ca="1">IFERROR(_xlfn.STOCKHISTORY("USD/BRL",E160,E160,0,0,1),Preços!$C$3)</f>
        <v>6.1798000000000002</v>
      </c>
    </row>
    <row r="161" spans="5:6" x14ac:dyDescent="0.25">
      <c r="E161" s="147">
        <f t="shared" si="1"/>
        <v>1</v>
      </c>
      <c r="F161" s="155" cm="1">
        <f t="array" aca="1" ref="F161" ca="1">IFERROR(_xlfn.STOCKHISTORY("USD/BRL",E161,E161,0,0,1),Preços!$C$3)</f>
        <v>6.1798000000000002</v>
      </c>
    </row>
    <row r="162" spans="5:6" x14ac:dyDescent="0.25">
      <c r="E162" s="147">
        <f t="shared" si="1"/>
        <v>1</v>
      </c>
      <c r="F162" s="155" cm="1">
        <f t="array" aca="1" ref="F162" ca="1">IFERROR(_xlfn.STOCKHISTORY("USD/BRL",E162,E162,0,0,1),Preços!$C$3)</f>
        <v>6.1798000000000002</v>
      </c>
    </row>
    <row r="163" spans="5:6" x14ac:dyDescent="0.25">
      <c r="E163" s="147">
        <f t="shared" si="1"/>
        <v>1</v>
      </c>
      <c r="F163" s="155" cm="1">
        <f t="array" aca="1" ref="F163" ca="1">IFERROR(_xlfn.STOCKHISTORY("USD/BRL",E163,E163,0,0,1),Preços!$C$3)</f>
        <v>6.1798000000000002</v>
      </c>
    </row>
    <row r="164" spans="5:6" x14ac:dyDescent="0.25">
      <c r="E164" s="147">
        <f t="shared" si="1"/>
        <v>1</v>
      </c>
      <c r="F164" s="155" cm="1">
        <f t="array" aca="1" ref="F164" ca="1">IFERROR(_xlfn.STOCKHISTORY("USD/BRL",E164,E164,0,0,1),Preços!$C$3)</f>
        <v>6.1798000000000002</v>
      </c>
    </row>
    <row r="165" spans="5:6" x14ac:dyDescent="0.25">
      <c r="E165" s="147">
        <f t="shared" si="1"/>
        <v>1</v>
      </c>
      <c r="F165" s="155" cm="1">
        <f t="array" aca="1" ref="F165" ca="1">IFERROR(_xlfn.STOCKHISTORY("USD/BRL",E165,E165,0,0,1),Preços!$C$3)</f>
        <v>6.1798000000000002</v>
      </c>
    </row>
    <row r="166" spans="5:6" x14ac:dyDescent="0.25">
      <c r="E166" s="147">
        <f t="shared" si="1"/>
        <v>1</v>
      </c>
      <c r="F166" s="155" cm="1">
        <f t="array" aca="1" ref="F166" ca="1">IFERROR(_xlfn.STOCKHISTORY("USD/BRL",E166,E166,0,0,1),Preços!$C$3)</f>
        <v>6.1798000000000002</v>
      </c>
    </row>
    <row r="167" spans="5:6" x14ac:dyDescent="0.25">
      <c r="E167" s="147">
        <f t="shared" si="1"/>
        <v>1</v>
      </c>
      <c r="F167" s="155" cm="1">
        <f t="array" aca="1" ref="F167" ca="1">IFERROR(_xlfn.STOCKHISTORY("USD/BRL",E167,E167,0,0,1),Preços!$C$3)</f>
        <v>6.1798000000000002</v>
      </c>
    </row>
    <row r="168" spans="5:6" x14ac:dyDescent="0.25">
      <c r="E168" s="147">
        <f t="shared" si="1"/>
        <v>1</v>
      </c>
      <c r="F168" s="155" cm="1">
        <f t="array" aca="1" ref="F168" ca="1">IFERROR(_xlfn.STOCKHISTORY("USD/BRL",E168,E168,0,0,1),Preços!$C$3)</f>
        <v>6.1798000000000002</v>
      </c>
    </row>
    <row r="169" spans="5:6" x14ac:dyDescent="0.25">
      <c r="E169" s="147">
        <f t="shared" si="1"/>
        <v>1</v>
      </c>
      <c r="F169" s="155" cm="1">
        <f t="array" aca="1" ref="F169" ca="1">IFERROR(_xlfn.STOCKHISTORY("USD/BRL",E169,E169,0,0,1),Preços!$C$3)</f>
        <v>6.1798000000000002</v>
      </c>
    </row>
    <row r="170" spans="5:6" x14ac:dyDescent="0.25">
      <c r="E170" s="147">
        <f t="shared" si="1"/>
        <v>1</v>
      </c>
      <c r="F170" s="155" cm="1">
        <f t="array" aca="1" ref="F170" ca="1">IFERROR(_xlfn.STOCKHISTORY("USD/BRL",E170,E170,0,0,1),Preços!$C$3)</f>
        <v>6.1798000000000002</v>
      </c>
    </row>
    <row r="171" spans="5:6" x14ac:dyDescent="0.25">
      <c r="E171" s="147">
        <f t="shared" si="1"/>
        <v>1</v>
      </c>
      <c r="F171" s="155" cm="1">
        <f t="array" aca="1" ref="F171" ca="1">IFERROR(_xlfn.STOCKHISTORY("USD/BRL",E171,E171,0,0,1),Preços!$C$3)</f>
        <v>6.1798000000000002</v>
      </c>
    </row>
    <row r="172" spans="5:6" x14ac:dyDescent="0.25">
      <c r="E172" s="147">
        <f t="shared" si="1"/>
        <v>1</v>
      </c>
      <c r="F172" s="155" cm="1">
        <f t="array" aca="1" ref="F172" ca="1">IFERROR(_xlfn.STOCKHISTORY("USD/BRL",E172,E172,0,0,1),Preços!$C$3)</f>
        <v>6.1798000000000002</v>
      </c>
    </row>
    <row r="173" spans="5:6" x14ac:dyDescent="0.25">
      <c r="E173" s="147">
        <f t="shared" si="1"/>
        <v>1</v>
      </c>
      <c r="F173" s="155" cm="1">
        <f t="array" aca="1" ref="F173" ca="1">IFERROR(_xlfn.STOCKHISTORY("USD/BRL",E173,E173,0,0,1),Preços!$C$3)</f>
        <v>6.1798000000000002</v>
      </c>
    </row>
    <row r="174" spans="5:6" x14ac:dyDescent="0.25">
      <c r="E174" s="147">
        <f t="shared" si="1"/>
        <v>1</v>
      </c>
      <c r="F174" s="155" cm="1">
        <f t="array" aca="1" ref="F174" ca="1">IFERROR(_xlfn.STOCKHISTORY("USD/BRL",E174,E174,0,0,1),Preços!$C$3)</f>
        <v>6.1798000000000002</v>
      </c>
    </row>
    <row r="175" spans="5:6" x14ac:dyDescent="0.25">
      <c r="E175" s="147">
        <f t="shared" si="1"/>
        <v>1</v>
      </c>
      <c r="F175" s="155" cm="1">
        <f t="array" aca="1" ref="F175" ca="1">IFERROR(_xlfn.STOCKHISTORY("USD/BRL",E175,E175,0,0,1),Preços!$C$3)</f>
        <v>6.1798000000000002</v>
      </c>
    </row>
    <row r="176" spans="5:6" x14ac:dyDescent="0.25">
      <c r="E176" s="147">
        <f t="shared" si="1"/>
        <v>1</v>
      </c>
      <c r="F176" s="155" cm="1">
        <f t="array" aca="1" ref="F176" ca="1">IFERROR(_xlfn.STOCKHISTORY("USD/BRL",E176,E176,0,0,1),Preços!$C$3)</f>
        <v>6.1798000000000002</v>
      </c>
    </row>
    <row r="177" spans="5:6" x14ac:dyDescent="0.25">
      <c r="E177" s="147">
        <f t="shared" si="1"/>
        <v>1</v>
      </c>
      <c r="F177" s="155" cm="1">
        <f t="array" aca="1" ref="F177" ca="1">IFERROR(_xlfn.STOCKHISTORY("USD/BRL",E177,E177,0,0,1),Preços!$C$3)</f>
        <v>6.1798000000000002</v>
      </c>
    </row>
    <row r="178" spans="5:6" x14ac:dyDescent="0.25">
      <c r="E178" s="147">
        <f t="shared" si="1"/>
        <v>1</v>
      </c>
      <c r="F178" s="155" cm="1">
        <f t="array" aca="1" ref="F178" ca="1">IFERROR(_xlfn.STOCKHISTORY("USD/BRL",E178,E178,0,0,1),Preços!$C$3)</f>
        <v>6.1798000000000002</v>
      </c>
    </row>
    <row r="179" spans="5:6" x14ac:dyDescent="0.25">
      <c r="E179" s="147">
        <f t="shared" si="1"/>
        <v>1</v>
      </c>
      <c r="F179" s="155" cm="1">
        <f t="array" aca="1" ref="F179" ca="1">IFERROR(_xlfn.STOCKHISTORY("USD/BRL",E179,E179,0,0,1),Preços!$C$3)</f>
        <v>6.1798000000000002</v>
      </c>
    </row>
    <row r="180" spans="5:6" x14ac:dyDescent="0.25">
      <c r="E180" s="147">
        <f t="shared" si="1"/>
        <v>1</v>
      </c>
      <c r="F180" s="155" cm="1">
        <f t="array" aca="1" ref="F180" ca="1">IFERROR(_xlfn.STOCKHISTORY("USD/BRL",E180,E180,0,0,1),Preços!$C$3)</f>
        <v>6.1798000000000002</v>
      </c>
    </row>
    <row r="181" spans="5:6" x14ac:dyDescent="0.25">
      <c r="E181" s="147">
        <f t="shared" si="1"/>
        <v>1</v>
      </c>
      <c r="F181" s="155" cm="1">
        <f t="array" aca="1" ref="F181" ca="1">IFERROR(_xlfn.STOCKHISTORY("USD/BRL",E181,E181,0,0,1),Preços!$C$3)</f>
        <v>6.1798000000000002</v>
      </c>
    </row>
    <row r="182" spans="5:6" x14ac:dyDescent="0.25">
      <c r="E182" s="147">
        <f t="shared" si="1"/>
        <v>1</v>
      </c>
      <c r="F182" s="155" cm="1">
        <f t="array" aca="1" ref="F182" ca="1">IFERROR(_xlfn.STOCKHISTORY("USD/BRL",E182,E182,0,0,1),Preços!$C$3)</f>
        <v>6.1798000000000002</v>
      </c>
    </row>
    <row r="183" spans="5:6" x14ac:dyDescent="0.25">
      <c r="E183" s="147">
        <f t="shared" si="1"/>
        <v>1</v>
      </c>
      <c r="F183" s="155" cm="1">
        <f t="array" aca="1" ref="F183" ca="1">IFERROR(_xlfn.STOCKHISTORY("USD/BRL",E183,E183,0,0,1),Preços!$C$3)</f>
        <v>6.1798000000000002</v>
      </c>
    </row>
    <row r="184" spans="5:6" x14ac:dyDescent="0.25">
      <c r="E184" s="147">
        <f t="shared" si="1"/>
        <v>1</v>
      </c>
      <c r="F184" s="155" cm="1">
        <f t="array" aca="1" ref="F184" ca="1">IFERROR(_xlfn.STOCKHISTORY("USD/BRL",E184,E184,0,0,1),Preços!$C$3)</f>
        <v>6.1798000000000002</v>
      </c>
    </row>
    <row r="185" spans="5:6" x14ac:dyDescent="0.25">
      <c r="E185" s="147">
        <f t="shared" si="1"/>
        <v>1</v>
      </c>
      <c r="F185" s="155" cm="1">
        <f t="array" aca="1" ref="F185" ca="1">IFERROR(_xlfn.STOCKHISTORY("USD/BRL",E185,E185,0,0,1),Preços!$C$3)</f>
        <v>6.1798000000000002</v>
      </c>
    </row>
    <row r="186" spans="5:6" x14ac:dyDescent="0.25">
      <c r="E186" s="147">
        <f t="shared" si="1"/>
        <v>1</v>
      </c>
      <c r="F186" s="155" cm="1">
        <f t="array" aca="1" ref="F186" ca="1">IFERROR(_xlfn.STOCKHISTORY("USD/BRL",E186,E186,0,0,1),Preços!$C$3)</f>
        <v>6.1798000000000002</v>
      </c>
    </row>
    <row r="187" spans="5:6" x14ac:dyDescent="0.25">
      <c r="E187" s="147">
        <f t="shared" si="1"/>
        <v>1</v>
      </c>
      <c r="F187" s="155" cm="1">
        <f t="array" aca="1" ref="F187" ca="1">IFERROR(_xlfn.STOCKHISTORY("USD/BRL",E187,E187,0,0,1),Preços!$C$3)</f>
        <v>6.1798000000000002</v>
      </c>
    </row>
    <row r="188" spans="5:6" x14ac:dyDescent="0.25">
      <c r="E188" s="147">
        <f t="shared" si="1"/>
        <v>1</v>
      </c>
      <c r="F188" s="155" cm="1">
        <f t="array" aca="1" ref="F188" ca="1">IFERROR(_xlfn.STOCKHISTORY("USD/BRL",E188,E188,0,0,1),Preços!$C$3)</f>
        <v>6.1798000000000002</v>
      </c>
    </row>
    <row r="189" spans="5:6" x14ac:dyDescent="0.25">
      <c r="E189" s="147">
        <f t="shared" si="1"/>
        <v>1</v>
      </c>
      <c r="F189" s="155" cm="1">
        <f t="array" aca="1" ref="F189" ca="1">IFERROR(_xlfn.STOCKHISTORY("USD/BRL",E189,E189,0,0,1),Preços!$C$3)</f>
        <v>6.1798000000000002</v>
      </c>
    </row>
    <row r="190" spans="5:6" x14ac:dyDescent="0.25">
      <c r="E190" s="147">
        <f t="shared" si="1"/>
        <v>1</v>
      </c>
      <c r="F190" s="155" cm="1">
        <f t="array" aca="1" ref="F190" ca="1">IFERROR(_xlfn.STOCKHISTORY("USD/BRL",E190,E190,0,0,1),Preços!$C$3)</f>
        <v>6.1798000000000002</v>
      </c>
    </row>
    <row r="191" spans="5:6" x14ac:dyDescent="0.25">
      <c r="E191" s="147">
        <f t="shared" si="1"/>
        <v>1</v>
      </c>
      <c r="F191" s="155" cm="1">
        <f t="array" aca="1" ref="F191" ca="1">IFERROR(_xlfn.STOCKHISTORY("USD/BRL",E191,E191,0,0,1),Preços!$C$3)</f>
        <v>6.1798000000000002</v>
      </c>
    </row>
    <row r="192" spans="5:6" x14ac:dyDescent="0.25">
      <c r="E192" s="147">
        <f t="shared" si="1"/>
        <v>1</v>
      </c>
      <c r="F192" s="155" cm="1">
        <f t="array" aca="1" ref="F192" ca="1">IFERROR(_xlfn.STOCKHISTORY("USD/BRL",E192,E192,0,0,1),Preços!$C$3)</f>
        <v>6.1798000000000002</v>
      </c>
    </row>
    <row r="193" spans="5:6" x14ac:dyDescent="0.25">
      <c r="E193" s="147">
        <f t="shared" si="1"/>
        <v>1</v>
      </c>
      <c r="F193" s="155" cm="1">
        <f t="array" aca="1" ref="F193" ca="1">IFERROR(_xlfn.STOCKHISTORY("USD/BRL",E193,E193,0,0,1),Preços!$C$3)</f>
        <v>6.1798000000000002</v>
      </c>
    </row>
    <row r="194" spans="5:6" x14ac:dyDescent="0.25">
      <c r="E194" s="147">
        <f t="shared" si="1"/>
        <v>1</v>
      </c>
      <c r="F194" s="155" cm="1">
        <f t="array" aca="1" ref="F194" ca="1">IFERROR(_xlfn.STOCKHISTORY("USD/BRL",E194,E194,0,0,1),Preços!$C$3)</f>
        <v>6.1798000000000002</v>
      </c>
    </row>
    <row r="195" spans="5:6" x14ac:dyDescent="0.25">
      <c r="E195" s="147">
        <f t="shared" si="1"/>
        <v>1</v>
      </c>
      <c r="F195" s="155" cm="1">
        <f t="array" aca="1" ref="F195" ca="1">IFERROR(_xlfn.STOCKHISTORY("USD/BRL",E195,E195,0,0,1),Preços!$C$3)</f>
        <v>6.1798000000000002</v>
      </c>
    </row>
    <row r="196" spans="5:6" x14ac:dyDescent="0.25">
      <c r="E196" s="147">
        <f t="shared" ref="E196:E259" si="2">DATE(YEAR(D102),MONTH(D102),1)</f>
        <v>1</v>
      </c>
      <c r="F196" s="155" cm="1">
        <f t="array" aca="1" ref="F196" ca="1">IFERROR(_xlfn.STOCKHISTORY("USD/BRL",E196,E196,0,0,1),Preços!$C$3)</f>
        <v>6.1798000000000002</v>
      </c>
    </row>
    <row r="197" spans="5:6" x14ac:dyDescent="0.25">
      <c r="E197" s="147">
        <f t="shared" si="2"/>
        <v>1</v>
      </c>
      <c r="F197" s="155" cm="1">
        <f t="array" aca="1" ref="F197" ca="1">IFERROR(_xlfn.STOCKHISTORY("USD/BRL",E197,E197,0,0,1),Preços!$C$3)</f>
        <v>6.1798000000000002</v>
      </c>
    </row>
    <row r="198" spans="5:6" x14ac:dyDescent="0.25">
      <c r="E198" s="147">
        <f t="shared" si="2"/>
        <v>1</v>
      </c>
      <c r="F198" s="155" cm="1">
        <f t="array" aca="1" ref="F198" ca="1">IFERROR(_xlfn.STOCKHISTORY("USD/BRL",E198,E198,0,0,1),Preços!$C$3)</f>
        <v>6.1798000000000002</v>
      </c>
    </row>
    <row r="199" spans="5:6" x14ac:dyDescent="0.25">
      <c r="E199" s="147">
        <f t="shared" si="2"/>
        <v>1</v>
      </c>
      <c r="F199" s="155" cm="1">
        <f t="array" aca="1" ref="F199" ca="1">IFERROR(_xlfn.STOCKHISTORY("USD/BRL",E199,E199,0,0,1),Preços!$C$3)</f>
        <v>6.1798000000000002</v>
      </c>
    </row>
    <row r="200" spans="5:6" x14ac:dyDescent="0.25">
      <c r="E200" s="147">
        <f t="shared" si="2"/>
        <v>1</v>
      </c>
      <c r="F200" s="155" cm="1">
        <f t="array" aca="1" ref="F200" ca="1">IFERROR(_xlfn.STOCKHISTORY("USD/BRL",E200,E200,0,0,1),Preços!$C$3)</f>
        <v>6.1798000000000002</v>
      </c>
    </row>
    <row r="201" spans="5:6" x14ac:dyDescent="0.25">
      <c r="E201" s="147">
        <f t="shared" si="2"/>
        <v>1</v>
      </c>
      <c r="F201" s="155" cm="1">
        <f t="array" aca="1" ref="F201" ca="1">IFERROR(_xlfn.STOCKHISTORY("USD/BRL",E201,E201,0,0,1),Preços!$C$3)</f>
        <v>6.1798000000000002</v>
      </c>
    </row>
    <row r="202" spans="5:6" x14ac:dyDescent="0.25">
      <c r="E202" s="147">
        <f t="shared" si="2"/>
        <v>1</v>
      </c>
      <c r="F202" s="155" cm="1">
        <f t="array" aca="1" ref="F202" ca="1">IFERROR(_xlfn.STOCKHISTORY("USD/BRL",E202,E202,0,0,1),Preços!$C$3)</f>
        <v>6.1798000000000002</v>
      </c>
    </row>
    <row r="203" spans="5:6" x14ac:dyDescent="0.25">
      <c r="E203" s="147">
        <f t="shared" si="2"/>
        <v>1</v>
      </c>
      <c r="F203" s="155" cm="1">
        <f t="array" aca="1" ref="F203" ca="1">IFERROR(_xlfn.STOCKHISTORY("USD/BRL",E203,E203,0,0,1),Preços!$C$3)</f>
        <v>6.1798000000000002</v>
      </c>
    </row>
    <row r="204" spans="5:6" x14ac:dyDescent="0.25">
      <c r="E204" s="147">
        <f t="shared" si="2"/>
        <v>1</v>
      </c>
      <c r="F204" s="155" cm="1">
        <f t="array" aca="1" ref="F204" ca="1">IFERROR(_xlfn.STOCKHISTORY("USD/BRL",E204,E204,0,0,1),Preços!$C$3)</f>
        <v>6.1798000000000002</v>
      </c>
    </row>
    <row r="205" spans="5:6" x14ac:dyDescent="0.25">
      <c r="E205" s="147">
        <f t="shared" si="2"/>
        <v>1</v>
      </c>
      <c r="F205" s="155" cm="1">
        <f t="array" aca="1" ref="F205" ca="1">IFERROR(_xlfn.STOCKHISTORY("USD/BRL",E205,E205,0,0,1),Preços!$C$3)</f>
        <v>6.1798000000000002</v>
      </c>
    </row>
    <row r="206" spans="5:6" x14ac:dyDescent="0.25">
      <c r="E206" s="147">
        <f t="shared" si="2"/>
        <v>1</v>
      </c>
      <c r="F206" s="155" cm="1">
        <f t="array" aca="1" ref="F206" ca="1">IFERROR(_xlfn.STOCKHISTORY("USD/BRL",E206,E206,0,0,1),Preços!$C$3)</f>
        <v>6.1798000000000002</v>
      </c>
    </row>
    <row r="207" spans="5:6" x14ac:dyDescent="0.25">
      <c r="E207" s="147">
        <f t="shared" si="2"/>
        <v>1</v>
      </c>
      <c r="F207" s="155" cm="1">
        <f t="array" aca="1" ref="F207" ca="1">IFERROR(_xlfn.STOCKHISTORY("USD/BRL",E207,E207,0,0,1),Preços!$C$3)</f>
        <v>6.1798000000000002</v>
      </c>
    </row>
    <row r="208" spans="5:6" x14ac:dyDescent="0.25">
      <c r="E208" s="147">
        <f t="shared" si="2"/>
        <v>1</v>
      </c>
      <c r="F208" s="155" cm="1">
        <f t="array" aca="1" ref="F208" ca="1">IFERROR(_xlfn.STOCKHISTORY("USD/BRL",E208,E208,0,0,1),Preços!$C$3)</f>
        <v>6.1798000000000002</v>
      </c>
    </row>
    <row r="209" spans="5:6" x14ac:dyDescent="0.25">
      <c r="E209" s="147">
        <f t="shared" si="2"/>
        <v>1</v>
      </c>
      <c r="F209" s="155" cm="1">
        <f t="array" aca="1" ref="F209" ca="1">IFERROR(_xlfn.STOCKHISTORY("USD/BRL",E209,E209,0,0,1),Preços!$C$3)</f>
        <v>6.1798000000000002</v>
      </c>
    </row>
    <row r="210" spans="5:6" x14ac:dyDescent="0.25">
      <c r="E210" s="147">
        <f t="shared" si="2"/>
        <v>1</v>
      </c>
      <c r="F210" s="155" cm="1">
        <f t="array" aca="1" ref="F210" ca="1">IFERROR(_xlfn.STOCKHISTORY("USD/BRL",E210,E210,0,0,1),Preços!$C$3)</f>
        <v>6.1798000000000002</v>
      </c>
    </row>
    <row r="211" spans="5:6" x14ac:dyDescent="0.25">
      <c r="E211" s="147">
        <f t="shared" si="2"/>
        <v>1</v>
      </c>
      <c r="F211" s="155" cm="1">
        <f t="array" aca="1" ref="F211" ca="1">IFERROR(_xlfn.STOCKHISTORY("USD/BRL",E211,E211,0,0,1),Preços!$C$3)</f>
        <v>6.1798000000000002</v>
      </c>
    </row>
    <row r="212" spans="5:6" x14ac:dyDescent="0.25">
      <c r="E212" s="147">
        <f t="shared" si="2"/>
        <v>1</v>
      </c>
      <c r="F212" s="155" cm="1">
        <f t="array" aca="1" ref="F212" ca="1">IFERROR(_xlfn.STOCKHISTORY("USD/BRL",E212,E212,0,0,1),Preços!$C$3)</f>
        <v>6.1798000000000002</v>
      </c>
    </row>
    <row r="213" spans="5:6" x14ac:dyDescent="0.25">
      <c r="E213" s="147">
        <f t="shared" si="2"/>
        <v>1</v>
      </c>
      <c r="F213" s="155" cm="1">
        <f t="array" aca="1" ref="F213" ca="1">IFERROR(_xlfn.STOCKHISTORY("USD/BRL",E213,E213,0,0,1),Preços!$C$3)</f>
        <v>6.1798000000000002</v>
      </c>
    </row>
    <row r="214" spans="5:6" x14ac:dyDescent="0.25">
      <c r="E214" s="147">
        <f t="shared" si="2"/>
        <v>1</v>
      </c>
      <c r="F214" s="155" cm="1">
        <f t="array" aca="1" ref="F214" ca="1">IFERROR(_xlfn.STOCKHISTORY("USD/BRL",E214,E214,0,0,1),Preços!$C$3)</f>
        <v>6.1798000000000002</v>
      </c>
    </row>
    <row r="215" spans="5:6" x14ac:dyDescent="0.25">
      <c r="E215" s="147">
        <f t="shared" si="2"/>
        <v>1</v>
      </c>
      <c r="F215" s="155" cm="1">
        <f t="array" aca="1" ref="F215" ca="1">IFERROR(_xlfn.STOCKHISTORY("USD/BRL",E215,E215,0,0,1),Preços!$C$3)</f>
        <v>6.1798000000000002</v>
      </c>
    </row>
    <row r="216" spans="5:6" x14ac:dyDescent="0.25">
      <c r="E216" s="147">
        <f t="shared" si="2"/>
        <v>1</v>
      </c>
      <c r="F216" s="155" cm="1">
        <f t="array" aca="1" ref="F216" ca="1">IFERROR(_xlfn.STOCKHISTORY("USD/BRL",E216,E216,0,0,1),Preços!$C$3)</f>
        <v>6.1798000000000002</v>
      </c>
    </row>
    <row r="217" spans="5:6" x14ac:dyDescent="0.25">
      <c r="E217" s="147">
        <f t="shared" si="2"/>
        <v>1</v>
      </c>
      <c r="F217" s="155" cm="1">
        <f t="array" aca="1" ref="F217" ca="1">IFERROR(_xlfn.STOCKHISTORY("USD/BRL",E217,E217,0,0,1),Preços!$C$3)</f>
        <v>6.1798000000000002</v>
      </c>
    </row>
    <row r="218" spans="5:6" x14ac:dyDescent="0.25">
      <c r="E218" s="147">
        <f t="shared" si="2"/>
        <v>1</v>
      </c>
      <c r="F218" s="155" cm="1">
        <f t="array" aca="1" ref="F218" ca="1">IFERROR(_xlfn.STOCKHISTORY("USD/BRL",E218,E218,0,0,1),Preços!$C$3)</f>
        <v>6.1798000000000002</v>
      </c>
    </row>
    <row r="219" spans="5:6" x14ac:dyDescent="0.25">
      <c r="E219" s="147">
        <f t="shared" si="2"/>
        <v>1</v>
      </c>
      <c r="F219" s="155" cm="1">
        <f t="array" aca="1" ref="F219" ca="1">IFERROR(_xlfn.STOCKHISTORY("USD/BRL",E219,E219,0,0,1),Preços!$C$3)</f>
        <v>6.1798000000000002</v>
      </c>
    </row>
    <row r="220" spans="5:6" x14ac:dyDescent="0.25">
      <c r="E220" s="147">
        <f t="shared" si="2"/>
        <v>1</v>
      </c>
      <c r="F220" s="155" cm="1">
        <f t="array" aca="1" ref="F220" ca="1">IFERROR(_xlfn.STOCKHISTORY("USD/BRL",E220,E220,0,0,1),Preços!$C$3)</f>
        <v>6.1798000000000002</v>
      </c>
    </row>
    <row r="221" spans="5:6" x14ac:dyDescent="0.25">
      <c r="E221" s="147">
        <f t="shared" si="2"/>
        <v>1</v>
      </c>
      <c r="F221" s="155" cm="1">
        <f t="array" aca="1" ref="F221" ca="1">IFERROR(_xlfn.STOCKHISTORY("USD/BRL",E221,E221,0,0,1),Preços!$C$3)</f>
        <v>6.1798000000000002</v>
      </c>
    </row>
    <row r="222" spans="5:6" x14ac:dyDescent="0.25">
      <c r="E222" s="147">
        <f t="shared" si="2"/>
        <v>1</v>
      </c>
      <c r="F222" s="155" cm="1">
        <f t="array" aca="1" ref="F222" ca="1">IFERROR(_xlfn.STOCKHISTORY("USD/BRL",E222,E222,0,0,1),Preços!$C$3)</f>
        <v>6.1798000000000002</v>
      </c>
    </row>
    <row r="223" spans="5:6" x14ac:dyDescent="0.25">
      <c r="E223" s="147">
        <f t="shared" si="2"/>
        <v>1</v>
      </c>
      <c r="F223" s="155" cm="1">
        <f t="array" aca="1" ref="F223" ca="1">IFERROR(_xlfn.STOCKHISTORY("USD/BRL",E223,E223,0,0,1),Preços!$C$3)</f>
        <v>6.1798000000000002</v>
      </c>
    </row>
    <row r="224" spans="5:6" x14ac:dyDescent="0.25">
      <c r="E224" s="147">
        <f t="shared" si="2"/>
        <v>1</v>
      </c>
      <c r="F224" s="155" cm="1">
        <f t="array" aca="1" ref="F224" ca="1">IFERROR(_xlfn.STOCKHISTORY("USD/BRL",E224,E224,0,0,1),Preços!$C$3)</f>
        <v>6.1798000000000002</v>
      </c>
    </row>
    <row r="225" spans="5:6" x14ac:dyDescent="0.25">
      <c r="E225" s="147">
        <f t="shared" si="2"/>
        <v>1</v>
      </c>
      <c r="F225" s="155" cm="1">
        <f t="array" aca="1" ref="F225" ca="1">IFERROR(_xlfn.STOCKHISTORY("USD/BRL",E225,E225,0,0,1),Preços!$C$3)</f>
        <v>6.1798000000000002</v>
      </c>
    </row>
    <row r="226" spans="5:6" x14ac:dyDescent="0.25">
      <c r="E226" s="147">
        <f t="shared" si="2"/>
        <v>1</v>
      </c>
      <c r="F226" s="155" cm="1">
        <f t="array" aca="1" ref="F226" ca="1">IFERROR(_xlfn.STOCKHISTORY("USD/BRL",E226,E226,0,0,1),Preços!$C$3)</f>
        <v>6.1798000000000002</v>
      </c>
    </row>
    <row r="227" spans="5:6" x14ac:dyDescent="0.25">
      <c r="E227" s="147">
        <f t="shared" si="2"/>
        <v>1</v>
      </c>
      <c r="F227" s="155" cm="1">
        <f t="array" aca="1" ref="F227" ca="1">IFERROR(_xlfn.STOCKHISTORY("USD/BRL",E227,E227,0,0,1),Preços!$C$3)</f>
        <v>6.1798000000000002</v>
      </c>
    </row>
    <row r="228" spans="5:6" x14ac:dyDescent="0.25">
      <c r="E228" s="147">
        <f t="shared" si="2"/>
        <v>1</v>
      </c>
      <c r="F228" s="155" cm="1">
        <f t="array" aca="1" ref="F228" ca="1">IFERROR(_xlfn.STOCKHISTORY("USD/BRL",E228,E228,0,0,1),Preços!$C$3)</f>
        <v>6.1798000000000002</v>
      </c>
    </row>
    <row r="229" spans="5:6" x14ac:dyDescent="0.25">
      <c r="E229" s="147">
        <f t="shared" si="2"/>
        <v>1</v>
      </c>
      <c r="F229" s="155" cm="1">
        <f t="array" aca="1" ref="F229" ca="1">IFERROR(_xlfn.STOCKHISTORY("USD/BRL",E229,E229,0,0,1),Preços!$C$3)</f>
        <v>6.1798000000000002</v>
      </c>
    </row>
    <row r="230" spans="5:6" x14ac:dyDescent="0.25">
      <c r="E230" s="147">
        <f t="shared" si="2"/>
        <v>1</v>
      </c>
      <c r="F230" s="155" cm="1">
        <f t="array" aca="1" ref="F230" ca="1">IFERROR(_xlfn.STOCKHISTORY("USD/BRL",E230,E230,0,0,1),Preços!$C$3)</f>
        <v>6.1798000000000002</v>
      </c>
    </row>
    <row r="231" spans="5:6" x14ac:dyDescent="0.25">
      <c r="E231" s="147">
        <f t="shared" si="2"/>
        <v>1</v>
      </c>
      <c r="F231" s="155" cm="1">
        <f t="array" aca="1" ref="F231" ca="1">IFERROR(_xlfn.STOCKHISTORY("USD/BRL",E231,E231,0,0,1),Preços!$C$3)</f>
        <v>6.1798000000000002</v>
      </c>
    </row>
    <row r="232" spans="5:6" x14ac:dyDescent="0.25">
      <c r="E232" s="147">
        <f t="shared" si="2"/>
        <v>1</v>
      </c>
      <c r="F232" s="155" cm="1">
        <f t="array" aca="1" ref="F232" ca="1">IFERROR(_xlfn.STOCKHISTORY("USD/BRL",E232,E232,0,0,1),Preços!$C$3)</f>
        <v>6.1798000000000002</v>
      </c>
    </row>
    <row r="233" spans="5:6" x14ac:dyDescent="0.25">
      <c r="E233" s="147">
        <f t="shared" si="2"/>
        <v>1</v>
      </c>
      <c r="F233" s="155" cm="1">
        <f t="array" aca="1" ref="F233" ca="1">IFERROR(_xlfn.STOCKHISTORY("USD/BRL",E233,E233,0,0,1),Preços!$C$3)</f>
        <v>6.1798000000000002</v>
      </c>
    </row>
    <row r="234" spans="5:6" x14ac:dyDescent="0.25">
      <c r="E234" s="147">
        <f t="shared" si="2"/>
        <v>1</v>
      </c>
      <c r="F234" s="155" cm="1">
        <f t="array" aca="1" ref="F234" ca="1">IFERROR(_xlfn.STOCKHISTORY("USD/BRL",E234,E234,0,0,1),Preços!$C$3)</f>
        <v>6.1798000000000002</v>
      </c>
    </row>
    <row r="235" spans="5:6" x14ac:dyDescent="0.25">
      <c r="E235" s="147">
        <f t="shared" si="2"/>
        <v>1</v>
      </c>
      <c r="F235" s="155" cm="1">
        <f t="array" aca="1" ref="F235" ca="1">IFERROR(_xlfn.STOCKHISTORY("USD/BRL",E235,E235,0,0,1),Preços!$C$3)</f>
        <v>6.1798000000000002</v>
      </c>
    </row>
    <row r="236" spans="5:6" x14ac:dyDescent="0.25">
      <c r="E236" s="147">
        <f t="shared" si="2"/>
        <v>1</v>
      </c>
      <c r="F236" s="155" cm="1">
        <f t="array" aca="1" ref="F236" ca="1">IFERROR(_xlfn.STOCKHISTORY("USD/BRL",E236,E236,0,0,1),Preços!$C$3)</f>
        <v>6.1798000000000002</v>
      </c>
    </row>
    <row r="237" spans="5:6" x14ac:dyDescent="0.25">
      <c r="E237" s="147">
        <f t="shared" si="2"/>
        <v>1</v>
      </c>
      <c r="F237" s="155" cm="1">
        <f t="array" aca="1" ref="F237" ca="1">IFERROR(_xlfn.STOCKHISTORY("USD/BRL",E237,E237,0,0,1),Preços!$C$3)</f>
        <v>6.1798000000000002</v>
      </c>
    </row>
    <row r="238" spans="5:6" x14ac:dyDescent="0.25">
      <c r="E238" s="147">
        <f t="shared" si="2"/>
        <v>1</v>
      </c>
      <c r="F238" s="155" cm="1">
        <f t="array" aca="1" ref="F238" ca="1">IFERROR(_xlfn.STOCKHISTORY("USD/BRL",E238,E238,0,0,1),Preços!$C$3)</f>
        <v>6.1798000000000002</v>
      </c>
    </row>
    <row r="239" spans="5:6" x14ac:dyDescent="0.25">
      <c r="E239" s="147">
        <f t="shared" si="2"/>
        <v>1</v>
      </c>
      <c r="F239" s="155" cm="1">
        <f t="array" aca="1" ref="F239" ca="1">IFERROR(_xlfn.STOCKHISTORY("USD/BRL",E239,E239,0,0,1),Preços!$C$3)</f>
        <v>6.1798000000000002</v>
      </c>
    </row>
    <row r="240" spans="5:6" x14ac:dyDescent="0.25">
      <c r="E240" s="147">
        <f t="shared" si="2"/>
        <v>1</v>
      </c>
      <c r="F240" s="155" cm="1">
        <f t="array" aca="1" ref="F240" ca="1">IFERROR(_xlfn.STOCKHISTORY("USD/BRL",E240,E240,0,0,1),Preços!$C$3)</f>
        <v>6.1798000000000002</v>
      </c>
    </row>
    <row r="241" spans="5:6" x14ac:dyDescent="0.25">
      <c r="E241" s="147">
        <f t="shared" si="2"/>
        <v>1</v>
      </c>
      <c r="F241" s="155" cm="1">
        <f t="array" aca="1" ref="F241" ca="1">IFERROR(_xlfn.STOCKHISTORY("USD/BRL",E241,E241,0,0,1),Preços!$C$3)</f>
        <v>6.1798000000000002</v>
      </c>
    </row>
    <row r="242" spans="5:6" x14ac:dyDescent="0.25">
      <c r="E242" s="147">
        <f t="shared" si="2"/>
        <v>1</v>
      </c>
      <c r="F242" s="155" cm="1">
        <f t="array" aca="1" ref="F242" ca="1">IFERROR(_xlfn.STOCKHISTORY("USD/BRL",E242,E242,0,0,1),Preços!$C$3)</f>
        <v>6.1798000000000002</v>
      </c>
    </row>
    <row r="243" spans="5:6" x14ac:dyDescent="0.25">
      <c r="E243" s="147">
        <f t="shared" si="2"/>
        <v>1</v>
      </c>
      <c r="F243" s="155" cm="1">
        <f t="array" aca="1" ref="F243" ca="1">IFERROR(_xlfn.STOCKHISTORY("USD/BRL",E243,E243,0,0,1),Preços!$C$3)</f>
        <v>6.1798000000000002</v>
      </c>
    </row>
    <row r="244" spans="5:6" x14ac:dyDescent="0.25">
      <c r="E244" s="147">
        <f t="shared" si="2"/>
        <v>1</v>
      </c>
      <c r="F244" s="155" cm="1">
        <f t="array" aca="1" ref="F244" ca="1">IFERROR(_xlfn.STOCKHISTORY("USD/BRL",E244,E244,0,0,1),Preços!$C$3)</f>
        <v>6.1798000000000002</v>
      </c>
    </row>
    <row r="245" spans="5:6" x14ac:dyDescent="0.25">
      <c r="E245" s="147">
        <f t="shared" si="2"/>
        <v>1</v>
      </c>
      <c r="F245" s="155" cm="1">
        <f t="array" aca="1" ref="F245" ca="1">IFERROR(_xlfn.STOCKHISTORY("USD/BRL",E245,E245,0,0,1),Preços!$C$3)</f>
        <v>6.1798000000000002</v>
      </c>
    </row>
    <row r="246" spans="5:6" x14ac:dyDescent="0.25">
      <c r="E246" s="147">
        <f t="shared" si="2"/>
        <v>1</v>
      </c>
      <c r="F246" s="155" cm="1">
        <f t="array" aca="1" ref="F246" ca="1">IFERROR(_xlfn.STOCKHISTORY("USD/BRL",E246,E246,0,0,1),Preços!$C$3)</f>
        <v>6.1798000000000002</v>
      </c>
    </row>
    <row r="247" spans="5:6" x14ac:dyDescent="0.25">
      <c r="E247" s="147">
        <f t="shared" si="2"/>
        <v>1</v>
      </c>
      <c r="F247" s="155" cm="1">
        <f t="array" aca="1" ref="F247" ca="1">IFERROR(_xlfn.STOCKHISTORY("USD/BRL",E247,E247,0,0,1),Preços!$C$3)</f>
        <v>6.1798000000000002</v>
      </c>
    </row>
    <row r="248" spans="5:6" x14ac:dyDescent="0.25">
      <c r="E248" s="147">
        <f t="shared" si="2"/>
        <v>1</v>
      </c>
      <c r="F248" s="155" cm="1">
        <f t="array" aca="1" ref="F248" ca="1">IFERROR(_xlfn.STOCKHISTORY("USD/BRL",E248,E248,0,0,1),Preços!$C$3)</f>
        <v>6.1798000000000002</v>
      </c>
    </row>
    <row r="249" spans="5:6" x14ac:dyDescent="0.25">
      <c r="E249" s="147">
        <f t="shared" si="2"/>
        <v>1</v>
      </c>
      <c r="F249" s="155" cm="1">
        <f t="array" aca="1" ref="F249" ca="1">IFERROR(_xlfn.STOCKHISTORY("USD/BRL",E249,E249,0,0,1),Preços!$C$3)</f>
        <v>6.1798000000000002</v>
      </c>
    </row>
    <row r="250" spans="5:6" x14ac:dyDescent="0.25">
      <c r="E250" s="147">
        <f t="shared" si="2"/>
        <v>1</v>
      </c>
      <c r="F250" s="155" cm="1">
        <f t="array" aca="1" ref="F250" ca="1">IFERROR(_xlfn.STOCKHISTORY("USD/BRL",E250,E250,0,0,1),Preços!$C$3)</f>
        <v>6.1798000000000002</v>
      </c>
    </row>
    <row r="251" spans="5:6" x14ac:dyDescent="0.25">
      <c r="E251" s="147">
        <f t="shared" si="2"/>
        <v>1</v>
      </c>
      <c r="F251" s="155" cm="1">
        <f t="array" aca="1" ref="F251" ca="1">IFERROR(_xlfn.STOCKHISTORY("USD/BRL",E251,E251,0,0,1),Preços!$C$3)</f>
        <v>6.1798000000000002</v>
      </c>
    </row>
    <row r="252" spans="5:6" x14ac:dyDescent="0.25">
      <c r="E252" s="147">
        <f t="shared" si="2"/>
        <v>1</v>
      </c>
      <c r="F252" s="155" cm="1">
        <f t="array" aca="1" ref="F252" ca="1">IFERROR(_xlfn.STOCKHISTORY("USD/BRL",E252,E252,0,0,1),Preços!$C$3)</f>
        <v>6.1798000000000002</v>
      </c>
    </row>
    <row r="253" spans="5:6" x14ac:dyDescent="0.25">
      <c r="E253" s="147">
        <f t="shared" si="2"/>
        <v>1</v>
      </c>
      <c r="F253" s="155" cm="1">
        <f t="array" aca="1" ref="F253" ca="1">IFERROR(_xlfn.STOCKHISTORY("USD/BRL",E253,E253,0,0,1),Preços!$C$3)</f>
        <v>6.1798000000000002</v>
      </c>
    </row>
    <row r="254" spans="5:6" x14ac:dyDescent="0.25">
      <c r="E254" s="147">
        <f t="shared" si="2"/>
        <v>1</v>
      </c>
      <c r="F254" s="155" cm="1">
        <f t="array" aca="1" ref="F254" ca="1">IFERROR(_xlfn.STOCKHISTORY("USD/BRL",E254,E254,0,0,1),Preços!$C$3)</f>
        <v>6.1798000000000002</v>
      </c>
    </row>
    <row r="255" spans="5:6" x14ac:dyDescent="0.25">
      <c r="E255" s="147">
        <f t="shared" si="2"/>
        <v>1</v>
      </c>
      <c r="F255" s="155" cm="1">
        <f t="array" aca="1" ref="F255" ca="1">IFERROR(_xlfn.STOCKHISTORY("USD/BRL",E255,E255,0,0,1),Preços!$C$3)</f>
        <v>6.1798000000000002</v>
      </c>
    </row>
    <row r="256" spans="5:6" x14ac:dyDescent="0.25">
      <c r="E256" s="147">
        <f t="shared" si="2"/>
        <v>1</v>
      </c>
      <c r="F256" s="155" cm="1">
        <f t="array" aca="1" ref="F256" ca="1">IFERROR(_xlfn.STOCKHISTORY("USD/BRL",E256,E256,0,0,1),Preços!$C$3)</f>
        <v>6.1798000000000002</v>
      </c>
    </row>
    <row r="257" spans="5:6" x14ac:dyDescent="0.25">
      <c r="E257" s="147">
        <f t="shared" si="2"/>
        <v>1</v>
      </c>
      <c r="F257" s="155" cm="1">
        <f t="array" aca="1" ref="F257" ca="1">IFERROR(_xlfn.STOCKHISTORY("USD/BRL",E257,E257,0,0,1),Preços!$C$3)</f>
        <v>6.1798000000000002</v>
      </c>
    </row>
    <row r="258" spans="5:6" x14ac:dyDescent="0.25">
      <c r="E258" s="147">
        <f t="shared" si="2"/>
        <v>1</v>
      </c>
      <c r="F258" s="155" cm="1">
        <f t="array" aca="1" ref="F258" ca="1">IFERROR(_xlfn.STOCKHISTORY("USD/BRL",E258,E258,0,0,1),Preços!$C$3)</f>
        <v>6.1798000000000002</v>
      </c>
    </row>
    <row r="259" spans="5:6" x14ac:dyDescent="0.25">
      <c r="E259" s="147">
        <f t="shared" si="2"/>
        <v>1</v>
      </c>
      <c r="F259" s="155" cm="1">
        <f t="array" aca="1" ref="F259" ca="1">IFERROR(_xlfn.STOCKHISTORY("USD/BRL",E259,E259,0,0,1),Preços!$C$3)</f>
        <v>6.1798000000000002</v>
      </c>
    </row>
    <row r="260" spans="5:6" x14ac:dyDescent="0.25">
      <c r="E260" s="147">
        <f t="shared" ref="E260:E323" si="3">DATE(YEAR(D166),MONTH(D166),1)</f>
        <v>1</v>
      </c>
      <c r="F260" s="155" cm="1">
        <f t="array" aca="1" ref="F260" ca="1">IFERROR(_xlfn.STOCKHISTORY("USD/BRL",E260,E260,0,0,1),Preços!$C$3)</f>
        <v>6.1798000000000002</v>
      </c>
    </row>
    <row r="261" spans="5:6" x14ac:dyDescent="0.25">
      <c r="E261" s="147">
        <f t="shared" si="3"/>
        <v>1</v>
      </c>
      <c r="F261" s="155" cm="1">
        <f t="array" aca="1" ref="F261" ca="1">IFERROR(_xlfn.STOCKHISTORY("USD/BRL",E261,E261,0,0,1),Preços!$C$3)</f>
        <v>6.1798000000000002</v>
      </c>
    </row>
    <row r="262" spans="5:6" x14ac:dyDescent="0.25">
      <c r="E262" s="147">
        <f t="shared" si="3"/>
        <v>1</v>
      </c>
      <c r="F262" s="155" cm="1">
        <f t="array" aca="1" ref="F262" ca="1">IFERROR(_xlfn.STOCKHISTORY("USD/BRL",E262,E262,0,0,1),Preços!$C$3)</f>
        <v>6.1798000000000002</v>
      </c>
    </row>
    <row r="263" spans="5:6" x14ac:dyDescent="0.25">
      <c r="E263" s="147">
        <f t="shared" si="3"/>
        <v>1</v>
      </c>
      <c r="F263" s="155" cm="1">
        <f t="array" aca="1" ref="F263" ca="1">IFERROR(_xlfn.STOCKHISTORY("USD/BRL",E263,E263,0,0,1),Preços!$C$3)</f>
        <v>6.1798000000000002</v>
      </c>
    </row>
    <row r="264" spans="5:6" x14ac:dyDescent="0.25">
      <c r="E264" s="147">
        <f t="shared" si="3"/>
        <v>1</v>
      </c>
      <c r="F264" s="155" cm="1">
        <f t="array" aca="1" ref="F264" ca="1">IFERROR(_xlfn.STOCKHISTORY("USD/BRL",E264,E264,0,0,1),Preços!$C$3)</f>
        <v>6.1798000000000002</v>
      </c>
    </row>
    <row r="265" spans="5:6" x14ac:dyDescent="0.25">
      <c r="E265" s="147">
        <f t="shared" si="3"/>
        <v>1</v>
      </c>
      <c r="F265" s="155" cm="1">
        <f t="array" aca="1" ref="F265" ca="1">IFERROR(_xlfn.STOCKHISTORY("USD/BRL",E265,E265,0,0,1),Preços!$C$3)</f>
        <v>6.1798000000000002</v>
      </c>
    </row>
    <row r="266" spans="5:6" x14ac:dyDescent="0.25">
      <c r="E266" s="147">
        <f t="shared" si="3"/>
        <v>1</v>
      </c>
      <c r="F266" s="155" cm="1">
        <f t="array" aca="1" ref="F266" ca="1">IFERROR(_xlfn.STOCKHISTORY("USD/BRL",E266,E266,0,0,1),Preços!$C$3)</f>
        <v>6.1798000000000002</v>
      </c>
    </row>
    <row r="267" spans="5:6" x14ac:dyDescent="0.25">
      <c r="E267" s="147">
        <f t="shared" si="3"/>
        <v>1</v>
      </c>
      <c r="F267" s="155" cm="1">
        <f t="array" aca="1" ref="F267" ca="1">IFERROR(_xlfn.STOCKHISTORY("USD/BRL",E267,E267,0,0,1),Preços!$C$3)</f>
        <v>6.1798000000000002</v>
      </c>
    </row>
    <row r="268" spans="5:6" x14ac:dyDescent="0.25">
      <c r="E268" s="147">
        <f t="shared" si="3"/>
        <v>1</v>
      </c>
      <c r="F268" s="155" cm="1">
        <f t="array" aca="1" ref="F268" ca="1">IFERROR(_xlfn.STOCKHISTORY("USD/BRL",E268,E268,0,0,1),Preços!$C$3)</f>
        <v>6.1798000000000002</v>
      </c>
    </row>
    <row r="269" spans="5:6" x14ac:dyDescent="0.25">
      <c r="E269" s="147">
        <f t="shared" si="3"/>
        <v>1</v>
      </c>
      <c r="F269" s="155" cm="1">
        <f t="array" aca="1" ref="F269" ca="1">IFERROR(_xlfn.STOCKHISTORY("USD/BRL",E269,E269,0,0,1),Preços!$C$3)</f>
        <v>6.1798000000000002</v>
      </c>
    </row>
    <row r="270" spans="5:6" x14ac:dyDescent="0.25">
      <c r="E270" s="147">
        <f t="shared" si="3"/>
        <v>1</v>
      </c>
      <c r="F270" s="155" cm="1">
        <f t="array" aca="1" ref="F270" ca="1">IFERROR(_xlfn.STOCKHISTORY("USD/BRL",E270,E270,0,0,1),Preços!$C$3)</f>
        <v>6.1798000000000002</v>
      </c>
    </row>
    <row r="271" spans="5:6" x14ac:dyDescent="0.25">
      <c r="E271" s="147">
        <f t="shared" si="3"/>
        <v>1</v>
      </c>
      <c r="F271" s="155" cm="1">
        <f t="array" aca="1" ref="F271" ca="1">IFERROR(_xlfn.STOCKHISTORY("USD/BRL",E271,E271,0,0,1),Preços!$C$3)</f>
        <v>6.1798000000000002</v>
      </c>
    </row>
    <row r="272" spans="5:6" x14ac:dyDescent="0.25">
      <c r="E272" s="147">
        <f t="shared" si="3"/>
        <v>1</v>
      </c>
      <c r="F272" s="155" cm="1">
        <f t="array" aca="1" ref="F272" ca="1">IFERROR(_xlfn.STOCKHISTORY("USD/BRL",E272,E272,0,0,1),Preços!$C$3)</f>
        <v>6.1798000000000002</v>
      </c>
    </row>
    <row r="273" spans="5:6" x14ac:dyDescent="0.25">
      <c r="E273" s="147">
        <f t="shared" si="3"/>
        <v>1</v>
      </c>
      <c r="F273" s="155" cm="1">
        <f t="array" aca="1" ref="F273" ca="1">IFERROR(_xlfn.STOCKHISTORY("USD/BRL",E273,E273,0,0,1),Preços!$C$3)</f>
        <v>6.1798000000000002</v>
      </c>
    </row>
    <row r="274" spans="5:6" x14ac:dyDescent="0.25">
      <c r="E274" s="147">
        <f t="shared" si="3"/>
        <v>1</v>
      </c>
      <c r="F274" s="155" cm="1">
        <f t="array" aca="1" ref="F274" ca="1">IFERROR(_xlfn.STOCKHISTORY("USD/BRL",E274,E274,0,0,1),Preços!$C$3)</f>
        <v>6.1798000000000002</v>
      </c>
    </row>
    <row r="275" spans="5:6" x14ac:dyDescent="0.25">
      <c r="E275" s="147">
        <f t="shared" si="3"/>
        <v>1</v>
      </c>
      <c r="F275" s="155" cm="1">
        <f t="array" aca="1" ref="F275" ca="1">IFERROR(_xlfn.STOCKHISTORY("USD/BRL",E275,E275,0,0,1),Preços!$C$3)</f>
        <v>6.1798000000000002</v>
      </c>
    </row>
    <row r="276" spans="5:6" x14ac:dyDescent="0.25">
      <c r="E276" s="147">
        <f t="shared" si="3"/>
        <v>1</v>
      </c>
      <c r="F276" s="155" cm="1">
        <f t="array" aca="1" ref="F276" ca="1">IFERROR(_xlfn.STOCKHISTORY("USD/BRL",E276,E276,0,0,1),Preços!$C$3)</f>
        <v>6.1798000000000002</v>
      </c>
    </row>
    <row r="277" spans="5:6" x14ac:dyDescent="0.25">
      <c r="E277" s="147">
        <f t="shared" si="3"/>
        <v>1</v>
      </c>
      <c r="F277" s="155" cm="1">
        <f t="array" aca="1" ref="F277" ca="1">IFERROR(_xlfn.STOCKHISTORY("USD/BRL",E277,E277,0,0,1),Preços!$C$3)</f>
        <v>6.1798000000000002</v>
      </c>
    </row>
    <row r="278" spans="5:6" x14ac:dyDescent="0.25">
      <c r="E278" s="147">
        <f t="shared" si="3"/>
        <v>1</v>
      </c>
      <c r="F278" s="155" cm="1">
        <f t="array" aca="1" ref="F278" ca="1">IFERROR(_xlfn.STOCKHISTORY("USD/BRL",E278,E278,0,0,1),Preços!$C$3)</f>
        <v>6.1798000000000002</v>
      </c>
    </row>
    <row r="279" spans="5:6" x14ac:dyDescent="0.25">
      <c r="E279" s="147">
        <f t="shared" si="3"/>
        <v>1</v>
      </c>
      <c r="F279" s="155" cm="1">
        <f t="array" aca="1" ref="F279" ca="1">IFERROR(_xlfn.STOCKHISTORY("USD/BRL",E279,E279,0,0,1),Preços!$C$3)</f>
        <v>6.1798000000000002</v>
      </c>
    </row>
    <row r="280" spans="5:6" x14ac:dyDescent="0.25">
      <c r="E280" s="147">
        <f t="shared" si="3"/>
        <v>1</v>
      </c>
      <c r="F280" s="155" cm="1">
        <f t="array" aca="1" ref="F280" ca="1">IFERROR(_xlfn.STOCKHISTORY("USD/BRL",E280,E280,0,0,1),Preços!$C$3)</f>
        <v>6.1798000000000002</v>
      </c>
    </row>
    <row r="281" spans="5:6" x14ac:dyDescent="0.25">
      <c r="E281" s="147">
        <f t="shared" si="3"/>
        <v>1</v>
      </c>
      <c r="F281" s="155" cm="1">
        <f t="array" aca="1" ref="F281" ca="1">IFERROR(_xlfn.STOCKHISTORY("USD/BRL",E281,E281,0,0,1),Preços!$C$3)</f>
        <v>6.1798000000000002</v>
      </c>
    </row>
    <row r="282" spans="5:6" x14ac:dyDescent="0.25">
      <c r="E282" s="147">
        <f t="shared" si="3"/>
        <v>1</v>
      </c>
      <c r="F282" s="155" cm="1">
        <f t="array" aca="1" ref="F282" ca="1">IFERROR(_xlfn.STOCKHISTORY("USD/BRL",E282,E282,0,0,1),Preços!$C$3)</f>
        <v>6.1798000000000002</v>
      </c>
    </row>
    <row r="283" spans="5:6" x14ac:dyDescent="0.25">
      <c r="E283" s="147">
        <f t="shared" si="3"/>
        <v>1</v>
      </c>
      <c r="F283" s="155" cm="1">
        <f t="array" aca="1" ref="F283" ca="1">IFERROR(_xlfn.STOCKHISTORY("USD/BRL",E283,E283,0,0,1),Preços!$C$3)</f>
        <v>6.1798000000000002</v>
      </c>
    </row>
    <row r="284" spans="5:6" x14ac:dyDescent="0.25">
      <c r="E284" s="147">
        <f t="shared" si="3"/>
        <v>1</v>
      </c>
      <c r="F284" s="155" cm="1">
        <f t="array" aca="1" ref="F284" ca="1">IFERROR(_xlfn.STOCKHISTORY("USD/BRL",E284,E284,0,0,1),Preços!$C$3)</f>
        <v>6.1798000000000002</v>
      </c>
    </row>
    <row r="285" spans="5:6" x14ac:dyDescent="0.25">
      <c r="E285" s="147">
        <f t="shared" si="3"/>
        <v>1</v>
      </c>
      <c r="F285" s="155" cm="1">
        <f t="array" aca="1" ref="F285" ca="1">IFERROR(_xlfn.STOCKHISTORY("USD/BRL",E285,E285,0,0,1),Preços!$C$3)</f>
        <v>6.1798000000000002</v>
      </c>
    </row>
    <row r="286" spans="5:6" x14ac:dyDescent="0.25">
      <c r="E286" s="147">
        <f t="shared" si="3"/>
        <v>1</v>
      </c>
      <c r="F286" s="155" cm="1">
        <f t="array" aca="1" ref="F286" ca="1">IFERROR(_xlfn.STOCKHISTORY("USD/BRL",E286,E286,0,0,1),Preços!$C$3)</f>
        <v>6.1798000000000002</v>
      </c>
    </row>
    <row r="287" spans="5:6" x14ac:dyDescent="0.25">
      <c r="E287" s="147">
        <f t="shared" si="3"/>
        <v>1</v>
      </c>
      <c r="F287" s="155" cm="1">
        <f t="array" aca="1" ref="F287" ca="1">IFERROR(_xlfn.STOCKHISTORY("USD/BRL",E287,E287,0,0,1),Preços!$C$3)</f>
        <v>6.1798000000000002</v>
      </c>
    </row>
    <row r="288" spans="5:6" x14ac:dyDescent="0.25">
      <c r="E288" s="147">
        <f t="shared" si="3"/>
        <v>1</v>
      </c>
      <c r="F288" s="155" cm="1">
        <f t="array" aca="1" ref="F288" ca="1">IFERROR(_xlfn.STOCKHISTORY("USD/BRL",E288,E288,0,0,1),Preços!$C$3)</f>
        <v>6.1798000000000002</v>
      </c>
    </row>
    <row r="289" spans="5:6" x14ac:dyDescent="0.25">
      <c r="E289" s="147">
        <f t="shared" si="3"/>
        <v>1</v>
      </c>
      <c r="F289" s="155" cm="1">
        <f t="array" aca="1" ref="F289" ca="1">IFERROR(_xlfn.STOCKHISTORY("USD/BRL",E289,E289,0,0,1),Preços!$C$3)</f>
        <v>6.1798000000000002</v>
      </c>
    </row>
    <row r="290" spans="5:6" x14ac:dyDescent="0.25">
      <c r="E290" s="147">
        <f t="shared" si="3"/>
        <v>1</v>
      </c>
      <c r="F290" s="155" cm="1">
        <f t="array" aca="1" ref="F290" ca="1">IFERROR(_xlfn.STOCKHISTORY("USD/BRL",E290,E290,0,0,1),Preços!$C$3)</f>
        <v>6.1798000000000002</v>
      </c>
    </row>
    <row r="291" spans="5:6" x14ac:dyDescent="0.25">
      <c r="E291" s="147">
        <f t="shared" si="3"/>
        <v>1</v>
      </c>
      <c r="F291" s="155" cm="1">
        <f t="array" aca="1" ref="F291" ca="1">IFERROR(_xlfn.STOCKHISTORY("USD/BRL",E291,E291,0,0,1),Preços!$C$3)</f>
        <v>6.1798000000000002</v>
      </c>
    </row>
    <row r="292" spans="5:6" x14ac:dyDescent="0.25">
      <c r="E292" s="147">
        <f t="shared" si="3"/>
        <v>1</v>
      </c>
      <c r="F292" s="155" cm="1">
        <f t="array" aca="1" ref="F292" ca="1">IFERROR(_xlfn.STOCKHISTORY("USD/BRL",E292,E292,0,0,1),Preços!$C$3)</f>
        <v>6.1798000000000002</v>
      </c>
    </row>
    <row r="293" spans="5:6" x14ac:dyDescent="0.25">
      <c r="E293" s="147">
        <f t="shared" si="3"/>
        <v>1</v>
      </c>
      <c r="F293" s="155" cm="1">
        <f t="array" aca="1" ref="F293" ca="1">IFERROR(_xlfn.STOCKHISTORY("USD/BRL",E293,E293,0,0,1),Preços!$C$3)</f>
        <v>6.1798000000000002</v>
      </c>
    </row>
    <row r="294" spans="5:6" x14ac:dyDescent="0.25">
      <c r="E294" s="147">
        <f t="shared" si="3"/>
        <v>1</v>
      </c>
      <c r="F294" s="155" cm="1">
        <f t="array" aca="1" ref="F294" ca="1">IFERROR(_xlfn.STOCKHISTORY("USD/BRL",E294,E294,0,0,1),Preços!$C$3)</f>
        <v>6.1798000000000002</v>
      </c>
    </row>
    <row r="295" spans="5:6" x14ac:dyDescent="0.25">
      <c r="E295" s="147">
        <f t="shared" si="3"/>
        <v>1</v>
      </c>
      <c r="F295" s="155" cm="1">
        <f t="array" aca="1" ref="F295" ca="1">IFERROR(_xlfn.STOCKHISTORY("USD/BRL",E295,E295,0,0,1),Preços!$C$3)</f>
        <v>6.1798000000000002</v>
      </c>
    </row>
    <row r="296" spans="5:6" x14ac:dyDescent="0.25">
      <c r="E296" s="147">
        <f t="shared" si="3"/>
        <v>1</v>
      </c>
      <c r="F296" s="155" cm="1">
        <f t="array" aca="1" ref="F296" ca="1">IFERROR(_xlfn.STOCKHISTORY("USD/BRL",E296,E296,0,0,1),Preços!$C$3)</f>
        <v>6.1798000000000002</v>
      </c>
    </row>
    <row r="297" spans="5:6" x14ac:dyDescent="0.25">
      <c r="E297" s="147">
        <f t="shared" si="3"/>
        <v>1</v>
      </c>
      <c r="F297" s="155" cm="1">
        <f t="array" aca="1" ref="F297" ca="1">IFERROR(_xlfn.STOCKHISTORY("USD/BRL",E297,E297,0,0,1),Preços!$C$3)</f>
        <v>6.1798000000000002</v>
      </c>
    </row>
    <row r="298" spans="5:6" x14ac:dyDescent="0.25">
      <c r="E298" s="147">
        <f t="shared" si="3"/>
        <v>1</v>
      </c>
      <c r="F298" s="155" cm="1">
        <f t="array" aca="1" ref="F298" ca="1">IFERROR(_xlfn.STOCKHISTORY("USD/BRL",E298,E298,0,0,1),Preços!$C$3)</f>
        <v>6.1798000000000002</v>
      </c>
    </row>
    <row r="299" spans="5:6" x14ac:dyDescent="0.25">
      <c r="E299" s="147">
        <f t="shared" si="3"/>
        <v>1</v>
      </c>
      <c r="F299" s="155" cm="1">
        <f t="array" aca="1" ref="F299" ca="1">IFERROR(_xlfn.STOCKHISTORY("USD/BRL",E299,E299,0,0,1),Preços!$C$3)</f>
        <v>6.1798000000000002</v>
      </c>
    </row>
    <row r="300" spans="5:6" x14ac:dyDescent="0.25">
      <c r="E300" s="147">
        <f t="shared" si="3"/>
        <v>1</v>
      </c>
      <c r="F300" s="155" cm="1">
        <f t="array" aca="1" ref="F300" ca="1">IFERROR(_xlfn.STOCKHISTORY("USD/BRL",E300,E300,0,0,1),Preços!$C$3)</f>
        <v>6.1798000000000002</v>
      </c>
    </row>
    <row r="301" spans="5:6" x14ac:dyDescent="0.25">
      <c r="E301" s="147">
        <f t="shared" si="3"/>
        <v>1</v>
      </c>
      <c r="F301" s="155" cm="1">
        <f t="array" aca="1" ref="F301" ca="1">IFERROR(_xlfn.STOCKHISTORY("USD/BRL",E301,E301,0,0,1),Preços!$C$3)</f>
        <v>6.1798000000000002</v>
      </c>
    </row>
    <row r="302" spans="5:6" x14ac:dyDescent="0.25">
      <c r="E302" s="147">
        <f t="shared" si="3"/>
        <v>1</v>
      </c>
      <c r="F302" s="155" cm="1">
        <f t="array" aca="1" ref="F302" ca="1">IFERROR(_xlfn.STOCKHISTORY("USD/BRL",E302,E302,0,0,1),Preços!$C$3)</f>
        <v>6.1798000000000002</v>
      </c>
    </row>
    <row r="303" spans="5:6" x14ac:dyDescent="0.25">
      <c r="E303" s="147">
        <f t="shared" si="3"/>
        <v>1</v>
      </c>
      <c r="F303" s="155" cm="1">
        <f t="array" aca="1" ref="F303" ca="1">IFERROR(_xlfn.STOCKHISTORY("USD/BRL",E303,E303,0,0,1),Preços!$C$3)</f>
        <v>6.1798000000000002</v>
      </c>
    </row>
    <row r="304" spans="5:6" x14ac:dyDescent="0.25">
      <c r="E304" s="147">
        <f t="shared" si="3"/>
        <v>1</v>
      </c>
      <c r="F304" s="155" cm="1">
        <f t="array" aca="1" ref="F304" ca="1">IFERROR(_xlfn.STOCKHISTORY("USD/BRL",E304,E304,0,0,1),Preços!$C$3)</f>
        <v>6.1798000000000002</v>
      </c>
    </row>
    <row r="305" spans="5:6" x14ac:dyDescent="0.25">
      <c r="E305" s="147">
        <f t="shared" si="3"/>
        <v>1</v>
      </c>
      <c r="F305" s="155" cm="1">
        <f t="array" aca="1" ref="F305" ca="1">IFERROR(_xlfn.STOCKHISTORY("USD/BRL",E305,E305,0,0,1),Preços!$C$3)</f>
        <v>6.1798000000000002</v>
      </c>
    </row>
    <row r="306" spans="5:6" x14ac:dyDescent="0.25">
      <c r="E306" s="147">
        <f t="shared" si="3"/>
        <v>1</v>
      </c>
      <c r="F306" s="155" cm="1">
        <f t="array" aca="1" ref="F306" ca="1">IFERROR(_xlfn.STOCKHISTORY("USD/BRL",E306,E306,0,0,1),Preços!$C$3)</f>
        <v>6.1798000000000002</v>
      </c>
    </row>
    <row r="307" spans="5:6" x14ac:dyDescent="0.25">
      <c r="E307" s="147">
        <f t="shared" si="3"/>
        <v>1</v>
      </c>
      <c r="F307" s="155" cm="1">
        <f t="array" aca="1" ref="F307" ca="1">IFERROR(_xlfn.STOCKHISTORY("USD/BRL",E307,E307,0,0,1),Preços!$C$3)</f>
        <v>6.1798000000000002</v>
      </c>
    </row>
    <row r="308" spans="5:6" x14ac:dyDescent="0.25">
      <c r="E308" s="147">
        <f t="shared" si="3"/>
        <v>1</v>
      </c>
      <c r="F308" s="155" cm="1">
        <f t="array" aca="1" ref="F308" ca="1">IFERROR(_xlfn.STOCKHISTORY("USD/BRL",E308,E308,0,0,1),Preços!$C$3)</f>
        <v>6.1798000000000002</v>
      </c>
    </row>
    <row r="309" spans="5:6" x14ac:dyDescent="0.25">
      <c r="E309" s="147">
        <f t="shared" si="3"/>
        <v>1</v>
      </c>
      <c r="F309" s="155" cm="1">
        <f t="array" aca="1" ref="F309" ca="1">IFERROR(_xlfn.STOCKHISTORY("USD/BRL",E309,E309,0,0,1),Preços!$C$3)</f>
        <v>6.1798000000000002</v>
      </c>
    </row>
    <row r="310" spans="5:6" x14ac:dyDescent="0.25">
      <c r="E310" s="147">
        <f t="shared" si="3"/>
        <v>1</v>
      </c>
      <c r="F310" s="155" cm="1">
        <f t="array" aca="1" ref="F310" ca="1">IFERROR(_xlfn.STOCKHISTORY("USD/BRL",E310,E310,0,0,1),Preços!$C$3)</f>
        <v>6.1798000000000002</v>
      </c>
    </row>
    <row r="311" spans="5:6" x14ac:dyDescent="0.25">
      <c r="E311" s="147">
        <f t="shared" si="3"/>
        <v>1</v>
      </c>
      <c r="F311" s="155" cm="1">
        <f t="array" aca="1" ref="F311" ca="1">IFERROR(_xlfn.STOCKHISTORY("USD/BRL",E311,E311,0,0,1),Preços!$C$3)</f>
        <v>6.1798000000000002</v>
      </c>
    </row>
    <row r="312" spans="5:6" x14ac:dyDescent="0.25">
      <c r="E312" s="147">
        <f t="shared" si="3"/>
        <v>1</v>
      </c>
      <c r="F312" s="155" cm="1">
        <f t="array" aca="1" ref="F312" ca="1">IFERROR(_xlfn.STOCKHISTORY("USD/BRL",E312,E312,0,0,1),Preços!$C$3)</f>
        <v>6.1798000000000002</v>
      </c>
    </row>
    <row r="313" spans="5:6" x14ac:dyDescent="0.25">
      <c r="E313" s="147">
        <f t="shared" si="3"/>
        <v>1</v>
      </c>
      <c r="F313" s="155" cm="1">
        <f t="array" aca="1" ref="F313" ca="1">IFERROR(_xlfn.STOCKHISTORY("USD/BRL",E313,E313,0,0,1),Preços!$C$3)</f>
        <v>6.1798000000000002</v>
      </c>
    </row>
    <row r="314" spans="5:6" x14ac:dyDescent="0.25">
      <c r="E314" s="147">
        <f t="shared" si="3"/>
        <v>1</v>
      </c>
      <c r="F314" s="155" cm="1">
        <f t="array" aca="1" ref="F314" ca="1">IFERROR(_xlfn.STOCKHISTORY("USD/BRL",E314,E314,0,0,1),Preços!$C$3)</f>
        <v>6.1798000000000002</v>
      </c>
    </row>
    <row r="315" spans="5:6" x14ac:dyDescent="0.25">
      <c r="E315" s="147">
        <f t="shared" si="3"/>
        <v>1</v>
      </c>
      <c r="F315" s="155" cm="1">
        <f t="array" aca="1" ref="F315" ca="1">IFERROR(_xlfn.STOCKHISTORY("USD/BRL",E315,E315,0,0,1),Preços!$C$3)</f>
        <v>6.1798000000000002</v>
      </c>
    </row>
    <row r="316" spans="5:6" x14ac:dyDescent="0.25">
      <c r="E316" s="147">
        <f t="shared" si="3"/>
        <v>1</v>
      </c>
      <c r="F316" s="155" cm="1">
        <f t="array" aca="1" ref="F316" ca="1">IFERROR(_xlfn.STOCKHISTORY("USD/BRL",E316,E316,0,0,1),Preços!$C$3)</f>
        <v>6.1798000000000002</v>
      </c>
    </row>
    <row r="317" spans="5:6" x14ac:dyDescent="0.25">
      <c r="E317" s="147">
        <f t="shared" si="3"/>
        <v>1</v>
      </c>
      <c r="F317" s="155" cm="1">
        <f t="array" aca="1" ref="F317" ca="1">IFERROR(_xlfn.STOCKHISTORY("USD/BRL",E317,E317,0,0,1),Preços!$C$3)</f>
        <v>6.1798000000000002</v>
      </c>
    </row>
    <row r="318" spans="5:6" x14ac:dyDescent="0.25">
      <c r="E318" s="147">
        <f t="shared" si="3"/>
        <v>1</v>
      </c>
      <c r="F318" s="155" cm="1">
        <f t="array" aca="1" ref="F318" ca="1">IFERROR(_xlfn.STOCKHISTORY("USD/BRL",E318,E318,0,0,1),Preços!$C$3)</f>
        <v>6.1798000000000002</v>
      </c>
    </row>
    <row r="319" spans="5:6" x14ac:dyDescent="0.25">
      <c r="E319" s="147">
        <f t="shared" si="3"/>
        <v>1</v>
      </c>
      <c r="F319" s="155" cm="1">
        <f t="array" aca="1" ref="F319" ca="1">IFERROR(_xlfn.STOCKHISTORY("USD/BRL",E319,E319,0,0,1),Preços!$C$3)</f>
        <v>6.1798000000000002</v>
      </c>
    </row>
    <row r="320" spans="5:6" x14ac:dyDescent="0.25">
      <c r="E320" s="147">
        <f t="shared" si="3"/>
        <v>1</v>
      </c>
      <c r="F320" s="155" cm="1">
        <f t="array" aca="1" ref="F320" ca="1">IFERROR(_xlfn.STOCKHISTORY("USD/BRL",E320,E320,0,0,1),Preços!$C$3)</f>
        <v>6.1798000000000002</v>
      </c>
    </row>
    <row r="321" spans="5:6" x14ac:dyDescent="0.25">
      <c r="E321" s="147">
        <f t="shared" si="3"/>
        <v>1</v>
      </c>
      <c r="F321" s="155" cm="1">
        <f t="array" aca="1" ref="F321" ca="1">IFERROR(_xlfn.STOCKHISTORY("USD/BRL",E321,E321,0,0,1),Preços!$C$3)</f>
        <v>6.1798000000000002</v>
      </c>
    </row>
    <row r="322" spans="5:6" x14ac:dyDescent="0.25">
      <c r="E322" s="147">
        <f t="shared" si="3"/>
        <v>1</v>
      </c>
      <c r="F322" s="155" cm="1">
        <f t="array" aca="1" ref="F322" ca="1">IFERROR(_xlfn.STOCKHISTORY("USD/BRL",E322,E322,0,0,1),Preços!$C$3)</f>
        <v>6.1798000000000002</v>
      </c>
    </row>
    <row r="323" spans="5:6" x14ac:dyDescent="0.25">
      <c r="E323" s="147">
        <f t="shared" si="3"/>
        <v>1</v>
      </c>
      <c r="F323" s="155" cm="1">
        <f t="array" aca="1" ref="F323" ca="1">IFERROR(_xlfn.STOCKHISTORY("USD/BRL",E323,E323,0,0,1),Preços!$C$3)</f>
        <v>6.1798000000000002</v>
      </c>
    </row>
    <row r="324" spans="5:6" x14ac:dyDescent="0.25">
      <c r="E324" s="147">
        <f t="shared" ref="E324:E387" si="4">DATE(YEAR(D230),MONTH(D230),1)</f>
        <v>1</v>
      </c>
      <c r="F324" s="155" cm="1">
        <f t="array" aca="1" ref="F324" ca="1">IFERROR(_xlfn.STOCKHISTORY("USD/BRL",E324,E324,0,0,1),Preços!$C$3)</f>
        <v>6.1798000000000002</v>
      </c>
    </row>
    <row r="325" spans="5:6" x14ac:dyDescent="0.25">
      <c r="E325" s="147">
        <f t="shared" si="4"/>
        <v>1</v>
      </c>
      <c r="F325" s="155" cm="1">
        <f t="array" aca="1" ref="F325" ca="1">IFERROR(_xlfn.STOCKHISTORY("USD/BRL",E325,E325,0,0,1),Preços!$C$3)</f>
        <v>6.1798000000000002</v>
      </c>
    </row>
    <row r="326" spans="5:6" x14ac:dyDescent="0.25">
      <c r="E326" s="147">
        <f t="shared" si="4"/>
        <v>1</v>
      </c>
      <c r="F326" s="155" cm="1">
        <f t="array" aca="1" ref="F326" ca="1">IFERROR(_xlfn.STOCKHISTORY("USD/BRL",E326,E326,0,0,1),Preços!$C$3)</f>
        <v>6.1798000000000002</v>
      </c>
    </row>
    <row r="327" spans="5:6" x14ac:dyDescent="0.25">
      <c r="E327" s="147">
        <f t="shared" si="4"/>
        <v>1</v>
      </c>
      <c r="F327" s="155" cm="1">
        <f t="array" aca="1" ref="F327" ca="1">IFERROR(_xlfn.STOCKHISTORY("USD/BRL",E327,E327,0,0,1),Preços!$C$3)</f>
        <v>6.1798000000000002</v>
      </c>
    </row>
    <row r="328" spans="5:6" x14ac:dyDescent="0.25">
      <c r="E328" s="147">
        <f t="shared" si="4"/>
        <v>1</v>
      </c>
      <c r="F328" s="155" cm="1">
        <f t="array" aca="1" ref="F328" ca="1">IFERROR(_xlfn.STOCKHISTORY("USD/BRL",E328,E328,0,0,1),Preços!$C$3)</f>
        <v>6.1798000000000002</v>
      </c>
    </row>
    <row r="329" spans="5:6" x14ac:dyDescent="0.25">
      <c r="E329" s="147">
        <f t="shared" si="4"/>
        <v>1</v>
      </c>
      <c r="F329" s="155" cm="1">
        <f t="array" aca="1" ref="F329" ca="1">IFERROR(_xlfn.STOCKHISTORY("USD/BRL",E329,E329,0,0,1),Preços!$C$3)</f>
        <v>6.1798000000000002</v>
      </c>
    </row>
    <row r="330" spans="5:6" x14ac:dyDescent="0.25">
      <c r="E330" s="147">
        <f t="shared" si="4"/>
        <v>1</v>
      </c>
      <c r="F330" s="155" cm="1">
        <f t="array" aca="1" ref="F330" ca="1">IFERROR(_xlfn.STOCKHISTORY("USD/BRL",E330,E330,0,0,1),Preços!$C$3)</f>
        <v>6.1798000000000002</v>
      </c>
    </row>
    <row r="331" spans="5:6" x14ac:dyDescent="0.25">
      <c r="E331" s="147">
        <f t="shared" si="4"/>
        <v>1</v>
      </c>
      <c r="F331" s="155" cm="1">
        <f t="array" aca="1" ref="F331" ca="1">IFERROR(_xlfn.STOCKHISTORY("USD/BRL",E331,E331,0,0,1),Preços!$C$3)</f>
        <v>6.1798000000000002</v>
      </c>
    </row>
    <row r="332" spans="5:6" x14ac:dyDescent="0.25">
      <c r="E332" s="147">
        <f t="shared" si="4"/>
        <v>1</v>
      </c>
      <c r="F332" s="155" cm="1">
        <f t="array" aca="1" ref="F332" ca="1">IFERROR(_xlfn.STOCKHISTORY("USD/BRL",E332,E332,0,0,1),Preços!$C$3)</f>
        <v>6.1798000000000002</v>
      </c>
    </row>
    <row r="333" spans="5:6" x14ac:dyDescent="0.25">
      <c r="E333" s="147">
        <f t="shared" si="4"/>
        <v>1</v>
      </c>
      <c r="F333" s="155" cm="1">
        <f t="array" aca="1" ref="F333" ca="1">IFERROR(_xlfn.STOCKHISTORY("USD/BRL",E333,E333,0,0,1),Preços!$C$3)</f>
        <v>6.1798000000000002</v>
      </c>
    </row>
    <row r="334" spans="5:6" x14ac:dyDescent="0.25">
      <c r="E334" s="147">
        <f t="shared" si="4"/>
        <v>1</v>
      </c>
      <c r="F334" s="155" cm="1">
        <f t="array" aca="1" ref="F334" ca="1">IFERROR(_xlfn.STOCKHISTORY("USD/BRL",E334,E334,0,0,1),Preços!$C$3)</f>
        <v>6.1798000000000002</v>
      </c>
    </row>
    <row r="335" spans="5:6" x14ac:dyDescent="0.25">
      <c r="E335" s="147">
        <f t="shared" si="4"/>
        <v>1</v>
      </c>
      <c r="F335" s="155" cm="1">
        <f t="array" aca="1" ref="F335" ca="1">IFERROR(_xlfn.STOCKHISTORY("USD/BRL",E335,E335,0,0,1),Preços!$C$3)</f>
        <v>6.1798000000000002</v>
      </c>
    </row>
    <row r="336" spans="5:6" x14ac:dyDescent="0.25">
      <c r="E336" s="147">
        <f t="shared" si="4"/>
        <v>1</v>
      </c>
      <c r="F336" s="155" cm="1">
        <f t="array" aca="1" ref="F336" ca="1">IFERROR(_xlfn.STOCKHISTORY("USD/BRL",E336,E336,0,0,1),Preços!$C$3)</f>
        <v>6.1798000000000002</v>
      </c>
    </row>
    <row r="337" spans="5:6" x14ac:dyDescent="0.25">
      <c r="E337" s="147">
        <f t="shared" si="4"/>
        <v>1</v>
      </c>
      <c r="F337" s="155" cm="1">
        <f t="array" aca="1" ref="F337" ca="1">IFERROR(_xlfn.STOCKHISTORY("USD/BRL",E337,E337,0,0,1),Preços!$C$3)</f>
        <v>6.1798000000000002</v>
      </c>
    </row>
    <row r="338" spans="5:6" x14ac:dyDescent="0.25">
      <c r="E338" s="147">
        <f t="shared" si="4"/>
        <v>1</v>
      </c>
      <c r="F338" s="155" cm="1">
        <f t="array" aca="1" ref="F338" ca="1">IFERROR(_xlfn.STOCKHISTORY("USD/BRL",E338,E338,0,0,1),Preços!$C$3)</f>
        <v>6.1798000000000002</v>
      </c>
    </row>
    <row r="339" spans="5:6" x14ac:dyDescent="0.25">
      <c r="E339" s="147">
        <f t="shared" si="4"/>
        <v>1</v>
      </c>
      <c r="F339" s="155" cm="1">
        <f t="array" aca="1" ref="F339" ca="1">IFERROR(_xlfn.STOCKHISTORY("USD/BRL",E339,E339,0,0,1),Preços!$C$3)</f>
        <v>6.1798000000000002</v>
      </c>
    </row>
    <row r="340" spans="5:6" x14ac:dyDescent="0.25">
      <c r="E340" s="147">
        <f t="shared" si="4"/>
        <v>1</v>
      </c>
      <c r="F340" s="155" cm="1">
        <f t="array" aca="1" ref="F340" ca="1">IFERROR(_xlfn.STOCKHISTORY("USD/BRL",E340,E340,0,0,1),Preços!$C$3)</f>
        <v>6.1798000000000002</v>
      </c>
    </row>
    <row r="341" spans="5:6" x14ac:dyDescent="0.25">
      <c r="E341" s="147">
        <f t="shared" si="4"/>
        <v>1</v>
      </c>
      <c r="F341" s="155" cm="1">
        <f t="array" aca="1" ref="F341" ca="1">IFERROR(_xlfn.STOCKHISTORY("USD/BRL",E341,E341,0,0,1),Preços!$C$3)</f>
        <v>6.1798000000000002</v>
      </c>
    </row>
    <row r="342" spans="5:6" x14ac:dyDescent="0.25">
      <c r="E342" s="147">
        <f t="shared" si="4"/>
        <v>1</v>
      </c>
      <c r="F342" s="155" cm="1">
        <f t="array" aca="1" ref="F342" ca="1">IFERROR(_xlfn.STOCKHISTORY("USD/BRL",E342,E342,0,0,1),Preços!$C$3)</f>
        <v>6.1798000000000002</v>
      </c>
    </row>
    <row r="343" spans="5:6" x14ac:dyDescent="0.25">
      <c r="E343" s="147">
        <f t="shared" si="4"/>
        <v>1</v>
      </c>
      <c r="F343" s="155" cm="1">
        <f t="array" aca="1" ref="F343" ca="1">IFERROR(_xlfn.STOCKHISTORY("USD/BRL",E343,E343,0,0,1),Preços!$C$3)</f>
        <v>6.1798000000000002</v>
      </c>
    </row>
    <row r="344" spans="5:6" x14ac:dyDescent="0.25">
      <c r="E344" s="147">
        <f t="shared" si="4"/>
        <v>1</v>
      </c>
      <c r="F344" s="155" cm="1">
        <f t="array" aca="1" ref="F344" ca="1">IFERROR(_xlfn.STOCKHISTORY("USD/BRL",E344,E344,0,0,1),Preços!$C$3)</f>
        <v>6.1798000000000002</v>
      </c>
    </row>
    <row r="345" spans="5:6" x14ac:dyDescent="0.25">
      <c r="E345" s="147">
        <f t="shared" si="4"/>
        <v>1</v>
      </c>
      <c r="F345" s="155" cm="1">
        <f t="array" aca="1" ref="F345" ca="1">IFERROR(_xlfn.STOCKHISTORY("USD/BRL",E345,E345,0,0,1),Preços!$C$3)</f>
        <v>6.1798000000000002</v>
      </c>
    </row>
    <row r="346" spans="5:6" x14ac:dyDescent="0.25">
      <c r="E346" s="147">
        <f t="shared" si="4"/>
        <v>1</v>
      </c>
      <c r="F346" s="155" cm="1">
        <f t="array" aca="1" ref="F346" ca="1">IFERROR(_xlfn.STOCKHISTORY("USD/BRL",E346,E346,0,0,1),Preços!$C$3)</f>
        <v>6.1798000000000002</v>
      </c>
    </row>
    <row r="347" spans="5:6" x14ac:dyDescent="0.25">
      <c r="E347" s="147">
        <f t="shared" si="4"/>
        <v>1</v>
      </c>
      <c r="F347" s="155" cm="1">
        <f t="array" aca="1" ref="F347" ca="1">IFERROR(_xlfn.STOCKHISTORY("USD/BRL",E347,E347,0,0,1),Preços!$C$3)</f>
        <v>6.1798000000000002</v>
      </c>
    </row>
    <row r="348" spans="5:6" x14ac:dyDescent="0.25">
      <c r="E348" s="147">
        <f t="shared" si="4"/>
        <v>1</v>
      </c>
      <c r="F348" s="155" cm="1">
        <f t="array" aca="1" ref="F348" ca="1">IFERROR(_xlfn.STOCKHISTORY("USD/BRL",E348,E348,0,0,1),Preços!$C$3)</f>
        <v>6.1798000000000002</v>
      </c>
    </row>
    <row r="349" spans="5:6" x14ac:dyDescent="0.25">
      <c r="E349" s="147">
        <f t="shared" si="4"/>
        <v>1</v>
      </c>
      <c r="F349" s="155" cm="1">
        <f t="array" aca="1" ref="F349" ca="1">IFERROR(_xlfn.STOCKHISTORY("USD/BRL",E349,E349,0,0,1),Preços!$C$3)</f>
        <v>6.1798000000000002</v>
      </c>
    </row>
    <row r="350" spans="5:6" x14ac:dyDescent="0.25">
      <c r="E350" s="147">
        <f t="shared" si="4"/>
        <v>1</v>
      </c>
      <c r="F350" s="155" cm="1">
        <f t="array" aca="1" ref="F350" ca="1">IFERROR(_xlfn.STOCKHISTORY("USD/BRL",E350,E350,0,0,1),Preços!$C$3)</f>
        <v>6.1798000000000002</v>
      </c>
    </row>
    <row r="351" spans="5:6" x14ac:dyDescent="0.25">
      <c r="E351" s="147">
        <f t="shared" si="4"/>
        <v>1</v>
      </c>
      <c r="F351" s="155" cm="1">
        <f t="array" aca="1" ref="F351" ca="1">IFERROR(_xlfn.STOCKHISTORY("USD/BRL",E351,E351,0,0,1),Preços!$C$3)</f>
        <v>6.1798000000000002</v>
      </c>
    </row>
    <row r="352" spans="5:6" x14ac:dyDescent="0.25">
      <c r="E352" s="147">
        <f t="shared" si="4"/>
        <v>1</v>
      </c>
      <c r="F352" s="155" cm="1">
        <f t="array" aca="1" ref="F352" ca="1">IFERROR(_xlfn.STOCKHISTORY("USD/BRL",E352,E352,0,0,1),Preços!$C$3)</f>
        <v>6.1798000000000002</v>
      </c>
    </row>
    <row r="353" spans="5:6" x14ac:dyDescent="0.25">
      <c r="E353" s="147">
        <f t="shared" si="4"/>
        <v>1</v>
      </c>
      <c r="F353" s="155" cm="1">
        <f t="array" aca="1" ref="F353" ca="1">IFERROR(_xlfn.STOCKHISTORY("USD/BRL",E353,E353,0,0,1),Preços!$C$3)</f>
        <v>6.1798000000000002</v>
      </c>
    </row>
    <row r="354" spans="5:6" x14ac:dyDescent="0.25">
      <c r="E354" s="147">
        <f t="shared" si="4"/>
        <v>1</v>
      </c>
      <c r="F354" s="155" cm="1">
        <f t="array" aca="1" ref="F354" ca="1">IFERROR(_xlfn.STOCKHISTORY("USD/BRL",E354,E354,0,0,1),Preços!$C$3)</f>
        <v>6.1798000000000002</v>
      </c>
    </row>
    <row r="355" spans="5:6" x14ac:dyDescent="0.25">
      <c r="E355" s="147">
        <f t="shared" si="4"/>
        <v>1</v>
      </c>
      <c r="F355" s="155" cm="1">
        <f t="array" aca="1" ref="F355" ca="1">IFERROR(_xlfn.STOCKHISTORY("USD/BRL",E355,E355,0,0,1),Preços!$C$3)</f>
        <v>6.1798000000000002</v>
      </c>
    </row>
    <row r="356" spans="5:6" x14ac:dyDescent="0.25">
      <c r="E356" s="147">
        <f t="shared" si="4"/>
        <v>1</v>
      </c>
      <c r="F356" s="155" cm="1">
        <f t="array" aca="1" ref="F356" ca="1">IFERROR(_xlfn.STOCKHISTORY("USD/BRL",E356,E356,0,0,1),Preços!$C$3)</f>
        <v>6.1798000000000002</v>
      </c>
    </row>
    <row r="357" spans="5:6" x14ac:dyDescent="0.25">
      <c r="E357" s="147">
        <f t="shared" si="4"/>
        <v>1</v>
      </c>
      <c r="F357" s="155" cm="1">
        <f t="array" aca="1" ref="F357" ca="1">IFERROR(_xlfn.STOCKHISTORY("USD/BRL",E357,E357,0,0,1),Preços!$C$3)</f>
        <v>6.1798000000000002</v>
      </c>
    </row>
    <row r="358" spans="5:6" x14ac:dyDescent="0.25">
      <c r="E358" s="147">
        <f t="shared" si="4"/>
        <v>1</v>
      </c>
      <c r="F358" s="155" cm="1">
        <f t="array" aca="1" ref="F358" ca="1">IFERROR(_xlfn.STOCKHISTORY("USD/BRL",E358,E358,0,0,1),Preços!$C$3)</f>
        <v>6.1798000000000002</v>
      </c>
    </row>
    <row r="359" spans="5:6" x14ac:dyDescent="0.25">
      <c r="E359" s="147">
        <f t="shared" si="4"/>
        <v>1</v>
      </c>
      <c r="F359" s="155" cm="1">
        <f t="array" aca="1" ref="F359" ca="1">IFERROR(_xlfn.STOCKHISTORY("USD/BRL",E359,E359,0,0,1),Preços!$C$3)</f>
        <v>6.1798000000000002</v>
      </c>
    </row>
    <row r="360" spans="5:6" x14ac:dyDescent="0.25">
      <c r="E360" s="147">
        <f t="shared" si="4"/>
        <v>1</v>
      </c>
      <c r="F360" s="155" cm="1">
        <f t="array" aca="1" ref="F360" ca="1">IFERROR(_xlfn.STOCKHISTORY("USD/BRL",E360,E360,0,0,1),Preços!$C$3)</f>
        <v>6.1798000000000002</v>
      </c>
    </row>
    <row r="361" spans="5:6" x14ac:dyDescent="0.25">
      <c r="E361" s="147">
        <f t="shared" si="4"/>
        <v>1</v>
      </c>
      <c r="F361" s="155" cm="1">
        <f t="array" aca="1" ref="F361" ca="1">IFERROR(_xlfn.STOCKHISTORY("USD/BRL",E361,E361,0,0,1),Preços!$C$3)</f>
        <v>6.1798000000000002</v>
      </c>
    </row>
    <row r="362" spans="5:6" x14ac:dyDescent="0.25">
      <c r="E362" s="147">
        <f t="shared" si="4"/>
        <v>1</v>
      </c>
      <c r="F362" s="155" cm="1">
        <f t="array" aca="1" ref="F362" ca="1">IFERROR(_xlfn.STOCKHISTORY("USD/BRL",E362,E362,0,0,1),Preços!$C$3)</f>
        <v>6.1798000000000002</v>
      </c>
    </row>
    <row r="363" spans="5:6" x14ac:dyDescent="0.25">
      <c r="E363" s="147">
        <f t="shared" si="4"/>
        <v>1</v>
      </c>
      <c r="F363" s="155" cm="1">
        <f t="array" aca="1" ref="F363" ca="1">IFERROR(_xlfn.STOCKHISTORY("USD/BRL",E363,E363,0,0,1),Preços!$C$3)</f>
        <v>6.1798000000000002</v>
      </c>
    </row>
    <row r="364" spans="5:6" x14ac:dyDescent="0.25">
      <c r="E364" s="147">
        <f t="shared" si="4"/>
        <v>1</v>
      </c>
      <c r="F364" s="155" cm="1">
        <f t="array" aca="1" ref="F364" ca="1">IFERROR(_xlfn.STOCKHISTORY("USD/BRL",E364,E364,0,0,1),Preços!$C$3)</f>
        <v>6.1798000000000002</v>
      </c>
    </row>
    <row r="365" spans="5:6" x14ac:dyDescent="0.25">
      <c r="E365" s="147">
        <f t="shared" si="4"/>
        <v>1</v>
      </c>
      <c r="F365" s="155" cm="1">
        <f t="array" aca="1" ref="F365" ca="1">IFERROR(_xlfn.STOCKHISTORY("USD/BRL",E365,E365,0,0,1),Preços!$C$3)</f>
        <v>6.1798000000000002</v>
      </c>
    </row>
    <row r="366" spans="5:6" x14ac:dyDescent="0.25">
      <c r="E366" s="147">
        <f t="shared" si="4"/>
        <v>1</v>
      </c>
      <c r="F366" s="155" cm="1">
        <f t="array" aca="1" ref="F366" ca="1">IFERROR(_xlfn.STOCKHISTORY("USD/BRL",E366,E366,0,0,1),Preços!$C$3)</f>
        <v>6.1798000000000002</v>
      </c>
    </row>
    <row r="367" spans="5:6" x14ac:dyDescent="0.25">
      <c r="E367" s="147">
        <f t="shared" si="4"/>
        <v>1</v>
      </c>
      <c r="F367" s="155" cm="1">
        <f t="array" aca="1" ref="F367" ca="1">IFERROR(_xlfn.STOCKHISTORY("USD/BRL",E367,E367,0,0,1),Preços!$C$3)</f>
        <v>6.1798000000000002</v>
      </c>
    </row>
    <row r="368" spans="5:6" x14ac:dyDescent="0.25">
      <c r="E368" s="147">
        <f t="shared" si="4"/>
        <v>1</v>
      </c>
      <c r="F368" s="155" cm="1">
        <f t="array" aca="1" ref="F368" ca="1">IFERROR(_xlfn.STOCKHISTORY("USD/BRL",E368,E368,0,0,1),Preços!$C$3)</f>
        <v>6.1798000000000002</v>
      </c>
    </row>
    <row r="369" spans="5:6" x14ac:dyDescent="0.25">
      <c r="E369" s="147">
        <f t="shared" si="4"/>
        <v>1</v>
      </c>
      <c r="F369" s="155" cm="1">
        <f t="array" aca="1" ref="F369" ca="1">IFERROR(_xlfn.STOCKHISTORY("USD/BRL",E369,E369,0,0,1),Preços!$C$3)</f>
        <v>6.1798000000000002</v>
      </c>
    </row>
    <row r="370" spans="5:6" x14ac:dyDescent="0.25">
      <c r="E370" s="147">
        <f t="shared" si="4"/>
        <v>1</v>
      </c>
      <c r="F370" s="155" cm="1">
        <f t="array" aca="1" ref="F370" ca="1">IFERROR(_xlfn.STOCKHISTORY("USD/BRL",E370,E370,0,0,1),Preços!$C$3)</f>
        <v>6.1798000000000002</v>
      </c>
    </row>
    <row r="371" spans="5:6" x14ac:dyDescent="0.25">
      <c r="E371" s="147">
        <f t="shared" si="4"/>
        <v>1</v>
      </c>
      <c r="F371" s="155" cm="1">
        <f t="array" aca="1" ref="F371" ca="1">IFERROR(_xlfn.STOCKHISTORY("USD/BRL",E371,E371,0,0,1),Preços!$C$3)</f>
        <v>6.1798000000000002</v>
      </c>
    </row>
    <row r="372" spans="5:6" x14ac:dyDescent="0.25">
      <c r="E372" s="147">
        <f t="shared" si="4"/>
        <v>1</v>
      </c>
      <c r="F372" s="155" cm="1">
        <f t="array" aca="1" ref="F372" ca="1">IFERROR(_xlfn.STOCKHISTORY("USD/BRL",E372,E372,0,0,1),Preços!$C$3)</f>
        <v>6.1798000000000002</v>
      </c>
    </row>
    <row r="373" spans="5:6" x14ac:dyDescent="0.25">
      <c r="E373" s="147">
        <f t="shared" si="4"/>
        <v>1</v>
      </c>
      <c r="F373" s="155" cm="1">
        <f t="array" aca="1" ref="F373" ca="1">IFERROR(_xlfn.STOCKHISTORY("USD/BRL",E373,E373,0,0,1),Preços!$C$3)</f>
        <v>6.1798000000000002</v>
      </c>
    </row>
    <row r="374" spans="5:6" x14ac:dyDescent="0.25">
      <c r="E374" s="147">
        <f t="shared" si="4"/>
        <v>1</v>
      </c>
      <c r="F374" s="155" cm="1">
        <f t="array" aca="1" ref="F374" ca="1">IFERROR(_xlfn.STOCKHISTORY("USD/BRL",E374,E374,0,0,1),Preços!$C$3)</f>
        <v>6.1798000000000002</v>
      </c>
    </row>
    <row r="375" spans="5:6" x14ac:dyDescent="0.25">
      <c r="E375" s="147">
        <f t="shared" si="4"/>
        <v>1</v>
      </c>
      <c r="F375" s="155" cm="1">
        <f t="array" aca="1" ref="F375" ca="1">IFERROR(_xlfn.STOCKHISTORY("USD/BRL",E375,E375,0,0,1),Preços!$C$3)</f>
        <v>6.1798000000000002</v>
      </c>
    </row>
    <row r="376" spans="5:6" x14ac:dyDescent="0.25">
      <c r="E376" s="147">
        <f t="shared" si="4"/>
        <v>1</v>
      </c>
      <c r="F376" s="155" cm="1">
        <f t="array" aca="1" ref="F376" ca="1">IFERROR(_xlfn.STOCKHISTORY("USD/BRL",E376,E376,0,0,1),Preços!$C$3)</f>
        <v>6.1798000000000002</v>
      </c>
    </row>
    <row r="377" spans="5:6" x14ac:dyDescent="0.25">
      <c r="E377" s="147">
        <f t="shared" si="4"/>
        <v>1</v>
      </c>
      <c r="F377" s="155" cm="1">
        <f t="array" aca="1" ref="F377" ca="1">IFERROR(_xlfn.STOCKHISTORY("USD/BRL",E377,E377,0,0,1),Preços!$C$3)</f>
        <v>6.1798000000000002</v>
      </c>
    </row>
    <row r="378" spans="5:6" x14ac:dyDescent="0.25">
      <c r="E378" s="147">
        <f t="shared" si="4"/>
        <v>1</v>
      </c>
      <c r="F378" s="155" cm="1">
        <f t="array" aca="1" ref="F378" ca="1">IFERROR(_xlfn.STOCKHISTORY("USD/BRL",E378,E378,0,0,1),Preços!$C$3)</f>
        <v>6.1798000000000002</v>
      </c>
    </row>
    <row r="379" spans="5:6" x14ac:dyDescent="0.25">
      <c r="E379" s="147">
        <f t="shared" si="4"/>
        <v>1</v>
      </c>
      <c r="F379" s="155" cm="1">
        <f t="array" aca="1" ref="F379" ca="1">IFERROR(_xlfn.STOCKHISTORY("USD/BRL",E379,E379,0,0,1),Preços!$C$3)</f>
        <v>6.1798000000000002</v>
      </c>
    </row>
    <row r="380" spans="5:6" x14ac:dyDescent="0.25">
      <c r="E380" s="147">
        <f t="shared" si="4"/>
        <v>1</v>
      </c>
      <c r="F380" s="155" cm="1">
        <f t="array" aca="1" ref="F380" ca="1">IFERROR(_xlfn.STOCKHISTORY("USD/BRL",E380,E380,0,0,1),Preços!$C$3)</f>
        <v>6.1798000000000002</v>
      </c>
    </row>
    <row r="381" spans="5:6" x14ac:dyDescent="0.25">
      <c r="E381" s="147">
        <f t="shared" si="4"/>
        <v>1</v>
      </c>
      <c r="F381" s="155" cm="1">
        <f t="array" aca="1" ref="F381" ca="1">IFERROR(_xlfn.STOCKHISTORY("USD/BRL",E381,E381,0,0,1),Preços!$C$3)</f>
        <v>6.1798000000000002</v>
      </c>
    </row>
    <row r="382" spans="5:6" x14ac:dyDescent="0.25">
      <c r="E382" s="147">
        <f t="shared" si="4"/>
        <v>1</v>
      </c>
      <c r="F382" s="155" cm="1">
        <f t="array" aca="1" ref="F382" ca="1">IFERROR(_xlfn.STOCKHISTORY("USD/BRL",E382,E382,0,0,1),Preços!$C$3)</f>
        <v>6.1798000000000002</v>
      </c>
    </row>
    <row r="383" spans="5:6" x14ac:dyDescent="0.25">
      <c r="E383" s="147">
        <f t="shared" si="4"/>
        <v>1</v>
      </c>
      <c r="F383" s="155" cm="1">
        <f t="array" aca="1" ref="F383" ca="1">IFERROR(_xlfn.STOCKHISTORY("USD/BRL",E383,E383,0,0,1),Preços!$C$3)</f>
        <v>6.1798000000000002</v>
      </c>
    </row>
    <row r="384" spans="5:6" x14ac:dyDescent="0.25">
      <c r="E384" s="147">
        <f t="shared" si="4"/>
        <v>1</v>
      </c>
      <c r="F384" s="155" cm="1">
        <f t="array" aca="1" ref="F384" ca="1">IFERROR(_xlfn.STOCKHISTORY("USD/BRL",E384,E384,0,0,1),Preços!$C$3)</f>
        <v>6.1798000000000002</v>
      </c>
    </row>
    <row r="385" spans="5:6" x14ac:dyDescent="0.25">
      <c r="E385" s="147">
        <f t="shared" si="4"/>
        <v>1</v>
      </c>
      <c r="F385" s="155" cm="1">
        <f t="array" aca="1" ref="F385" ca="1">IFERROR(_xlfn.STOCKHISTORY("USD/BRL",E385,E385,0,0,1),Preços!$C$3)</f>
        <v>6.1798000000000002</v>
      </c>
    </row>
    <row r="386" spans="5:6" x14ac:dyDescent="0.25">
      <c r="E386" s="147">
        <f t="shared" si="4"/>
        <v>1</v>
      </c>
      <c r="F386" s="155" cm="1">
        <f t="array" aca="1" ref="F386" ca="1">IFERROR(_xlfn.STOCKHISTORY("USD/BRL",E386,E386,0,0,1),Preços!$C$3)</f>
        <v>6.1798000000000002</v>
      </c>
    </row>
    <row r="387" spans="5:6" x14ac:dyDescent="0.25">
      <c r="E387" s="147">
        <f t="shared" si="4"/>
        <v>1</v>
      </c>
      <c r="F387" s="155" cm="1">
        <f t="array" aca="1" ref="F387" ca="1">IFERROR(_xlfn.STOCKHISTORY("USD/BRL",E387,E387,0,0,1),Preços!$C$3)</f>
        <v>6.1798000000000002</v>
      </c>
    </row>
    <row r="388" spans="5:6" x14ac:dyDescent="0.25">
      <c r="E388" s="147">
        <f t="shared" ref="E388:E451" si="5">DATE(YEAR(D294),MONTH(D294),1)</f>
        <v>1</v>
      </c>
      <c r="F388" s="155" cm="1">
        <f t="array" aca="1" ref="F388" ca="1">IFERROR(_xlfn.STOCKHISTORY("USD/BRL",E388,E388,0,0,1),Preços!$C$3)</f>
        <v>6.1798000000000002</v>
      </c>
    </row>
    <row r="389" spans="5:6" x14ac:dyDescent="0.25">
      <c r="E389" s="147">
        <f t="shared" si="5"/>
        <v>1</v>
      </c>
      <c r="F389" s="155" cm="1">
        <f t="array" aca="1" ref="F389" ca="1">IFERROR(_xlfn.STOCKHISTORY("USD/BRL",E389,E389,0,0,1),Preços!$C$3)</f>
        <v>6.1798000000000002</v>
      </c>
    </row>
    <row r="390" spans="5:6" x14ac:dyDescent="0.25">
      <c r="E390" s="147">
        <f t="shared" si="5"/>
        <v>1</v>
      </c>
      <c r="F390" s="155" cm="1">
        <f t="array" aca="1" ref="F390" ca="1">IFERROR(_xlfn.STOCKHISTORY("USD/BRL",E390,E390,0,0,1),Preços!$C$3)</f>
        <v>6.1798000000000002</v>
      </c>
    </row>
    <row r="391" spans="5:6" x14ac:dyDescent="0.25">
      <c r="E391" s="147">
        <f t="shared" si="5"/>
        <v>1</v>
      </c>
      <c r="F391" s="155" cm="1">
        <f t="array" aca="1" ref="F391" ca="1">IFERROR(_xlfn.STOCKHISTORY("USD/BRL",E391,E391,0,0,1),Preços!$C$3)</f>
        <v>6.1798000000000002</v>
      </c>
    </row>
    <row r="392" spans="5:6" x14ac:dyDescent="0.25">
      <c r="E392" s="147">
        <f t="shared" si="5"/>
        <v>1</v>
      </c>
      <c r="F392" s="155" cm="1">
        <f t="array" aca="1" ref="F392" ca="1">IFERROR(_xlfn.STOCKHISTORY("USD/BRL",E392,E392,0,0,1),Preços!$C$3)</f>
        <v>6.1798000000000002</v>
      </c>
    </row>
    <row r="393" spans="5:6" x14ac:dyDescent="0.25">
      <c r="E393" s="147">
        <f t="shared" si="5"/>
        <v>1</v>
      </c>
      <c r="F393" s="155" cm="1">
        <f t="array" aca="1" ref="F393" ca="1">IFERROR(_xlfn.STOCKHISTORY("USD/BRL",E393,E393,0,0,1),Preços!$C$3)</f>
        <v>6.1798000000000002</v>
      </c>
    </row>
    <row r="394" spans="5:6" x14ac:dyDescent="0.25">
      <c r="E394" s="147">
        <f t="shared" si="5"/>
        <v>1</v>
      </c>
      <c r="F394" s="155" cm="1">
        <f t="array" aca="1" ref="F394" ca="1">IFERROR(_xlfn.STOCKHISTORY("USD/BRL",E394,E394,0,0,1),Preços!$C$3)</f>
        <v>6.1798000000000002</v>
      </c>
    </row>
    <row r="395" spans="5:6" x14ac:dyDescent="0.25">
      <c r="E395" s="147">
        <f t="shared" si="5"/>
        <v>1</v>
      </c>
      <c r="F395" s="155" cm="1">
        <f t="array" aca="1" ref="F395" ca="1">IFERROR(_xlfn.STOCKHISTORY("USD/BRL",E395,E395,0,0,1),Preços!$C$3)</f>
        <v>6.1798000000000002</v>
      </c>
    </row>
    <row r="396" spans="5:6" x14ac:dyDescent="0.25">
      <c r="E396" s="147">
        <f t="shared" si="5"/>
        <v>1</v>
      </c>
      <c r="F396" s="155" cm="1">
        <f t="array" aca="1" ref="F396" ca="1">IFERROR(_xlfn.STOCKHISTORY("USD/BRL",E396,E396,0,0,1),Preços!$C$3)</f>
        <v>6.1798000000000002</v>
      </c>
    </row>
    <row r="397" spans="5:6" x14ac:dyDescent="0.25">
      <c r="E397" s="147">
        <f t="shared" si="5"/>
        <v>1</v>
      </c>
      <c r="F397" s="155" cm="1">
        <f t="array" aca="1" ref="F397" ca="1">IFERROR(_xlfn.STOCKHISTORY("USD/BRL",E397,E397,0,0,1),Preços!$C$3)</f>
        <v>6.1798000000000002</v>
      </c>
    </row>
    <row r="398" spans="5:6" x14ac:dyDescent="0.25">
      <c r="E398" s="147">
        <f t="shared" si="5"/>
        <v>1</v>
      </c>
      <c r="F398" s="155" cm="1">
        <f t="array" aca="1" ref="F398" ca="1">IFERROR(_xlfn.STOCKHISTORY("USD/BRL",E398,E398,0,0,1),Preços!$C$3)</f>
        <v>6.1798000000000002</v>
      </c>
    </row>
    <row r="399" spans="5:6" x14ac:dyDescent="0.25">
      <c r="E399" s="147">
        <f t="shared" si="5"/>
        <v>1</v>
      </c>
      <c r="F399" s="155" cm="1">
        <f t="array" aca="1" ref="F399" ca="1">IFERROR(_xlfn.STOCKHISTORY("USD/BRL",E399,E399,0,0,1),Preços!$C$3)</f>
        <v>6.1798000000000002</v>
      </c>
    </row>
    <row r="400" spans="5:6" x14ac:dyDescent="0.25">
      <c r="E400" s="147">
        <f t="shared" si="5"/>
        <v>1</v>
      </c>
      <c r="F400" s="155" cm="1">
        <f t="array" aca="1" ref="F400" ca="1">IFERROR(_xlfn.STOCKHISTORY("USD/BRL",E400,E400,0,0,1),Preços!$C$3)</f>
        <v>6.1798000000000002</v>
      </c>
    </row>
    <row r="401" spans="5:6" x14ac:dyDescent="0.25">
      <c r="E401" s="147">
        <f t="shared" si="5"/>
        <v>1</v>
      </c>
      <c r="F401" s="155" cm="1">
        <f t="array" aca="1" ref="F401" ca="1">IFERROR(_xlfn.STOCKHISTORY("USD/BRL",E401,E401,0,0,1),Preços!$C$3)</f>
        <v>6.1798000000000002</v>
      </c>
    </row>
    <row r="402" spans="5:6" x14ac:dyDescent="0.25">
      <c r="E402" s="147">
        <f t="shared" si="5"/>
        <v>1</v>
      </c>
      <c r="F402" s="155" cm="1">
        <f t="array" aca="1" ref="F402" ca="1">IFERROR(_xlfn.STOCKHISTORY("USD/BRL",E402,E402,0,0,1),Preços!$C$3)</f>
        <v>6.1798000000000002</v>
      </c>
    </row>
    <row r="403" spans="5:6" x14ac:dyDescent="0.25">
      <c r="E403" s="147">
        <f t="shared" si="5"/>
        <v>1</v>
      </c>
      <c r="F403" s="155" cm="1">
        <f t="array" aca="1" ref="F403" ca="1">IFERROR(_xlfn.STOCKHISTORY("USD/BRL",E403,E403,0,0,1),Preços!$C$3)</f>
        <v>6.1798000000000002</v>
      </c>
    </row>
    <row r="404" spans="5:6" x14ac:dyDescent="0.25">
      <c r="E404" s="147">
        <f t="shared" si="5"/>
        <v>1</v>
      </c>
      <c r="F404" s="155" cm="1">
        <f t="array" aca="1" ref="F404" ca="1">IFERROR(_xlfn.STOCKHISTORY("USD/BRL",E404,E404,0,0,1),Preços!$C$3)</f>
        <v>6.1798000000000002</v>
      </c>
    </row>
    <row r="405" spans="5:6" x14ac:dyDescent="0.25">
      <c r="E405" s="147">
        <f t="shared" si="5"/>
        <v>1</v>
      </c>
      <c r="F405" s="155" cm="1">
        <f t="array" aca="1" ref="F405" ca="1">IFERROR(_xlfn.STOCKHISTORY("USD/BRL",E405,E405,0,0,1),Preços!$C$3)</f>
        <v>6.1798000000000002</v>
      </c>
    </row>
    <row r="406" spans="5:6" x14ac:dyDescent="0.25">
      <c r="E406" s="147">
        <f t="shared" si="5"/>
        <v>1</v>
      </c>
      <c r="F406" s="155" cm="1">
        <f t="array" aca="1" ref="F406" ca="1">IFERROR(_xlfn.STOCKHISTORY("USD/BRL",E406,E406,0,0,1),Preços!$C$3)</f>
        <v>6.1798000000000002</v>
      </c>
    </row>
    <row r="407" spans="5:6" x14ac:dyDescent="0.25">
      <c r="E407" s="147">
        <f t="shared" si="5"/>
        <v>1</v>
      </c>
      <c r="F407" s="155" cm="1">
        <f t="array" aca="1" ref="F407" ca="1">IFERROR(_xlfn.STOCKHISTORY("USD/BRL",E407,E407,0,0,1),Preços!$C$3)</f>
        <v>6.1798000000000002</v>
      </c>
    </row>
    <row r="408" spans="5:6" x14ac:dyDescent="0.25">
      <c r="E408" s="147">
        <f t="shared" si="5"/>
        <v>1</v>
      </c>
      <c r="F408" s="155" cm="1">
        <f t="array" aca="1" ref="F408" ca="1">IFERROR(_xlfn.STOCKHISTORY("USD/BRL",E408,E408,0,0,1),Preços!$C$3)</f>
        <v>6.1798000000000002</v>
      </c>
    </row>
    <row r="409" spans="5:6" x14ac:dyDescent="0.25">
      <c r="E409" s="147">
        <f t="shared" si="5"/>
        <v>1</v>
      </c>
      <c r="F409" s="155" cm="1">
        <f t="array" aca="1" ref="F409" ca="1">IFERROR(_xlfn.STOCKHISTORY("USD/BRL",E409,E409,0,0,1),Preços!$C$3)</f>
        <v>6.1798000000000002</v>
      </c>
    </row>
    <row r="410" spans="5:6" x14ac:dyDescent="0.25">
      <c r="E410" s="147">
        <f t="shared" si="5"/>
        <v>1</v>
      </c>
      <c r="F410" s="155" cm="1">
        <f t="array" aca="1" ref="F410" ca="1">IFERROR(_xlfn.STOCKHISTORY("USD/BRL",E410,E410,0,0,1),Preços!$C$3)</f>
        <v>6.1798000000000002</v>
      </c>
    </row>
    <row r="411" spans="5:6" x14ac:dyDescent="0.25">
      <c r="E411" s="147">
        <f t="shared" si="5"/>
        <v>1</v>
      </c>
      <c r="F411" s="155" cm="1">
        <f t="array" aca="1" ref="F411" ca="1">IFERROR(_xlfn.STOCKHISTORY("USD/BRL",E411,E411,0,0,1),Preços!$C$3)</f>
        <v>6.1798000000000002</v>
      </c>
    </row>
    <row r="412" spans="5:6" x14ac:dyDescent="0.25">
      <c r="E412" s="147">
        <f t="shared" si="5"/>
        <v>1</v>
      </c>
      <c r="F412" s="155" cm="1">
        <f t="array" aca="1" ref="F412" ca="1">IFERROR(_xlfn.STOCKHISTORY("USD/BRL",E412,E412,0,0,1),Preços!$C$3)</f>
        <v>6.1798000000000002</v>
      </c>
    </row>
    <row r="413" spans="5:6" x14ac:dyDescent="0.25">
      <c r="E413" s="147">
        <f t="shared" si="5"/>
        <v>1</v>
      </c>
      <c r="F413" s="155" cm="1">
        <f t="array" aca="1" ref="F413" ca="1">IFERROR(_xlfn.STOCKHISTORY("USD/BRL",E413,E413,0,0,1),Preços!$C$3)</f>
        <v>6.1798000000000002</v>
      </c>
    </row>
    <row r="414" spans="5:6" x14ac:dyDescent="0.25">
      <c r="E414" s="147">
        <f t="shared" si="5"/>
        <v>1</v>
      </c>
      <c r="F414" s="155" cm="1">
        <f t="array" aca="1" ref="F414" ca="1">IFERROR(_xlfn.STOCKHISTORY("USD/BRL",E414,E414,0,0,1),Preços!$C$3)</f>
        <v>6.1798000000000002</v>
      </c>
    </row>
    <row r="415" spans="5:6" x14ac:dyDescent="0.25">
      <c r="E415" s="147">
        <f t="shared" si="5"/>
        <v>1</v>
      </c>
      <c r="F415" s="155" cm="1">
        <f t="array" aca="1" ref="F415" ca="1">IFERROR(_xlfn.STOCKHISTORY("USD/BRL",E415,E415,0,0,1),Preços!$C$3)</f>
        <v>6.1798000000000002</v>
      </c>
    </row>
    <row r="416" spans="5:6" x14ac:dyDescent="0.25">
      <c r="E416" s="147">
        <f t="shared" si="5"/>
        <v>1</v>
      </c>
      <c r="F416" s="155" cm="1">
        <f t="array" aca="1" ref="F416" ca="1">IFERROR(_xlfn.STOCKHISTORY("USD/BRL",E416,E416,0,0,1),Preços!$C$3)</f>
        <v>6.1798000000000002</v>
      </c>
    </row>
    <row r="417" spans="5:6" x14ac:dyDescent="0.25">
      <c r="E417" s="147">
        <f t="shared" si="5"/>
        <v>1</v>
      </c>
      <c r="F417" s="155" cm="1">
        <f t="array" aca="1" ref="F417" ca="1">IFERROR(_xlfn.STOCKHISTORY("USD/BRL",E417,E417,0,0,1),Preços!$C$3)</f>
        <v>6.1798000000000002</v>
      </c>
    </row>
    <row r="418" spans="5:6" x14ac:dyDescent="0.25">
      <c r="E418" s="147">
        <f t="shared" si="5"/>
        <v>1</v>
      </c>
      <c r="F418" s="155" cm="1">
        <f t="array" aca="1" ref="F418" ca="1">IFERROR(_xlfn.STOCKHISTORY("USD/BRL",E418,E418,0,0,1),Preços!$C$3)</f>
        <v>6.1798000000000002</v>
      </c>
    </row>
    <row r="419" spans="5:6" x14ac:dyDescent="0.25">
      <c r="E419" s="147">
        <f t="shared" si="5"/>
        <v>1</v>
      </c>
      <c r="F419" s="155" cm="1">
        <f t="array" aca="1" ref="F419" ca="1">IFERROR(_xlfn.STOCKHISTORY("USD/BRL",E419,E419,0,0,1),Preços!$C$3)</f>
        <v>6.1798000000000002</v>
      </c>
    </row>
    <row r="420" spans="5:6" x14ac:dyDescent="0.25">
      <c r="E420" s="147">
        <f t="shared" si="5"/>
        <v>1</v>
      </c>
      <c r="F420" s="155" cm="1">
        <f t="array" aca="1" ref="F420" ca="1">IFERROR(_xlfn.STOCKHISTORY("USD/BRL",E420,E420,0,0,1),Preços!$C$3)</f>
        <v>6.1798000000000002</v>
      </c>
    </row>
    <row r="421" spans="5:6" x14ac:dyDescent="0.25">
      <c r="E421" s="147">
        <f t="shared" si="5"/>
        <v>1</v>
      </c>
      <c r="F421" s="155" cm="1">
        <f t="array" aca="1" ref="F421" ca="1">IFERROR(_xlfn.STOCKHISTORY("USD/BRL",E421,E421,0,0,1),Preços!$C$3)</f>
        <v>6.1798000000000002</v>
      </c>
    </row>
    <row r="422" spans="5:6" x14ac:dyDescent="0.25">
      <c r="E422" s="147">
        <f t="shared" si="5"/>
        <v>1</v>
      </c>
      <c r="F422" s="155" cm="1">
        <f t="array" aca="1" ref="F422" ca="1">IFERROR(_xlfn.STOCKHISTORY("USD/BRL",E422,E422,0,0,1),Preços!$C$3)</f>
        <v>6.1798000000000002</v>
      </c>
    </row>
    <row r="423" spans="5:6" x14ac:dyDescent="0.25">
      <c r="E423" s="147">
        <f t="shared" si="5"/>
        <v>1</v>
      </c>
      <c r="F423" s="155" cm="1">
        <f t="array" aca="1" ref="F423" ca="1">IFERROR(_xlfn.STOCKHISTORY("USD/BRL",E423,E423,0,0,1),Preços!$C$3)</f>
        <v>6.1798000000000002</v>
      </c>
    </row>
    <row r="424" spans="5:6" x14ac:dyDescent="0.25">
      <c r="E424" s="147">
        <f t="shared" si="5"/>
        <v>1</v>
      </c>
      <c r="F424" s="155" cm="1">
        <f t="array" aca="1" ref="F424" ca="1">IFERROR(_xlfn.STOCKHISTORY("USD/BRL",E424,E424,0,0,1),Preços!$C$3)</f>
        <v>6.1798000000000002</v>
      </c>
    </row>
    <row r="425" spans="5:6" x14ac:dyDescent="0.25">
      <c r="E425" s="147">
        <f t="shared" si="5"/>
        <v>1</v>
      </c>
      <c r="F425" s="155" cm="1">
        <f t="array" aca="1" ref="F425" ca="1">IFERROR(_xlfn.STOCKHISTORY("USD/BRL",E425,E425,0,0,1),Preços!$C$3)</f>
        <v>6.1798000000000002</v>
      </c>
    </row>
    <row r="426" spans="5:6" x14ac:dyDescent="0.25">
      <c r="E426" s="147">
        <f t="shared" si="5"/>
        <v>1</v>
      </c>
      <c r="F426" s="155" cm="1">
        <f t="array" aca="1" ref="F426" ca="1">IFERROR(_xlfn.STOCKHISTORY("USD/BRL",E426,E426,0,0,1),Preços!$C$3)</f>
        <v>6.1798000000000002</v>
      </c>
    </row>
    <row r="427" spans="5:6" x14ac:dyDescent="0.25">
      <c r="E427" s="147">
        <f t="shared" si="5"/>
        <v>1</v>
      </c>
      <c r="F427" s="155" cm="1">
        <f t="array" aca="1" ref="F427" ca="1">IFERROR(_xlfn.STOCKHISTORY("USD/BRL",E427,E427,0,0,1),Preços!$C$3)</f>
        <v>6.1798000000000002</v>
      </c>
    </row>
    <row r="428" spans="5:6" x14ac:dyDescent="0.25">
      <c r="E428" s="147">
        <f t="shared" si="5"/>
        <v>1</v>
      </c>
      <c r="F428" s="155" cm="1">
        <f t="array" aca="1" ref="F428" ca="1">IFERROR(_xlfn.STOCKHISTORY("USD/BRL",E428,E428,0,0,1),Preços!$C$3)</f>
        <v>6.1798000000000002</v>
      </c>
    </row>
    <row r="429" spans="5:6" x14ac:dyDescent="0.25">
      <c r="E429" s="147">
        <f t="shared" si="5"/>
        <v>1</v>
      </c>
      <c r="F429" s="155" cm="1">
        <f t="array" aca="1" ref="F429" ca="1">IFERROR(_xlfn.STOCKHISTORY("USD/BRL",E429,E429,0,0,1),Preços!$C$3)</f>
        <v>6.1798000000000002</v>
      </c>
    </row>
    <row r="430" spans="5:6" x14ac:dyDescent="0.25">
      <c r="E430" s="147">
        <f t="shared" si="5"/>
        <v>1</v>
      </c>
      <c r="F430" s="155" cm="1">
        <f t="array" aca="1" ref="F430" ca="1">IFERROR(_xlfn.STOCKHISTORY("USD/BRL",E430,E430,0,0,1),Preços!$C$3)</f>
        <v>6.1798000000000002</v>
      </c>
    </row>
    <row r="431" spans="5:6" x14ac:dyDescent="0.25">
      <c r="E431" s="147">
        <f t="shared" si="5"/>
        <v>1</v>
      </c>
      <c r="F431" s="155" cm="1">
        <f t="array" aca="1" ref="F431" ca="1">IFERROR(_xlfn.STOCKHISTORY("USD/BRL",E431,E431,0,0,1),Preços!$C$3)</f>
        <v>6.1798000000000002</v>
      </c>
    </row>
    <row r="432" spans="5:6" x14ac:dyDescent="0.25">
      <c r="E432" s="147">
        <f t="shared" si="5"/>
        <v>1</v>
      </c>
      <c r="F432" s="155" cm="1">
        <f t="array" aca="1" ref="F432" ca="1">IFERROR(_xlfn.STOCKHISTORY("USD/BRL",E432,E432,0,0,1),Preços!$C$3)</f>
        <v>6.1798000000000002</v>
      </c>
    </row>
    <row r="433" spans="5:6" x14ac:dyDescent="0.25">
      <c r="E433" s="147">
        <f t="shared" si="5"/>
        <v>1</v>
      </c>
      <c r="F433" s="155" cm="1">
        <f t="array" aca="1" ref="F433" ca="1">IFERROR(_xlfn.STOCKHISTORY("USD/BRL",E433,E433,0,0,1),Preços!$C$3)</f>
        <v>6.1798000000000002</v>
      </c>
    </row>
    <row r="434" spans="5:6" x14ac:dyDescent="0.25">
      <c r="E434" s="147">
        <f t="shared" si="5"/>
        <v>1</v>
      </c>
      <c r="F434" s="155" cm="1">
        <f t="array" aca="1" ref="F434" ca="1">IFERROR(_xlfn.STOCKHISTORY("USD/BRL",E434,E434,0,0,1),Preços!$C$3)</f>
        <v>6.1798000000000002</v>
      </c>
    </row>
    <row r="435" spans="5:6" x14ac:dyDescent="0.25">
      <c r="E435" s="147">
        <f t="shared" si="5"/>
        <v>1</v>
      </c>
      <c r="F435" s="155" cm="1">
        <f t="array" aca="1" ref="F435" ca="1">IFERROR(_xlfn.STOCKHISTORY("USD/BRL",E435,E435,0,0,1),Preços!$C$3)</f>
        <v>6.1798000000000002</v>
      </c>
    </row>
    <row r="436" spans="5:6" x14ac:dyDescent="0.25">
      <c r="E436" s="147">
        <f t="shared" si="5"/>
        <v>1</v>
      </c>
      <c r="F436" s="155" cm="1">
        <f t="array" aca="1" ref="F436" ca="1">IFERROR(_xlfn.STOCKHISTORY("USD/BRL",E436,E436,0,0,1),Preços!$C$3)</f>
        <v>6.1798000000000002</v>
      </c>
    </row>
    <row r="437" spans="5:6" x14ac:dyDescent="0.25">
      <c r="E437" s="147">
        <f t="shared" si="5"/>
        <v>1</v>
      </c>
      <c r="F437" s="155" cm="1">
        <f t="array" aca="1" ref="F437" ca="1">IFERROR(_xlfn.STOCKHISTORY("USD/BRL",E437,E437,0,0,1),Preços!$C$3)</f>
        <v>6.1798000000000002</v>
      </c>
    </row>
    <row r="438" spans="5:6" x14ac:dyDescent="0.25">
      <c r="E438" s="147">
        <f t="shared" si="5"/>
        <v>1</v>
      </c>
      <c r="F438" s="155" cm="1">
        <f t="array" aca="1" ref="F438" ca="1">IFERROR(_xlfn.STOCKHISTORY("USD/BRL",E438,E438,0,0,1),Preços!$C$3)</f>
        <v>6.1798000000000002</v>
      </c>
    </row>
    <row r="439" spans="5:6" x14ac:dyDescent="0.25">
      <c r="E439" s="147">
        <f t="shared" si="5"/>
        <v>1</v>
      </c>
      <c r="F439" s="155" cm="1">
        <f t="array" aca="1" ref="F439" ca="1">IFERROR(_xlfn.STOCKHISTORY("USD/BRL",E439,E439,0,0,1),Preços!$C$3)</f>
        <v>6.1798000000000002</v>
      </c>
    </row>
    <row r="440" spans="5:6" x14ac:dyDescent="0.25">
      <c r="E440" s="147">
        <f t="shared" si="5"/>
        <v>1</v>
      </c>
      <c r="F440" s="155" cm="1">
        <f t="array" aca="1" ref="F440" ca="1">IFERROR(_xlfn.STOCKHISTORY("USD/BRL",E440,E440,0,0,1),Preços!$C$3)</f>
        <v>6.1798000000000002</v>
      </c>
    </row>
    <row r="441" spans="5:6" x14ac:dyDescent="0.25">
      <c r="E441" s="147">
        <f t="shared" si="5"/>
        <v>1</v>
      </c>
      <c r="F441" s="155" cm="1">
        <f t="array" aca="1" ref="F441" ca="1">IFERROR(_xlfn.STOCKHISTORY("USD/BRL",E441,E441,0,0,1),Preços!$C$3)</f>
        <v>6.1798000000000002</v>
      </c>
    </row>
    <row r="442" spans="5:6" x14ac:dyDescent="0.25">
      <c r="E442" s="147">
        <f t="shared" si="5"/>
        <v>1</v>
      </c>
      <c r="F442" s="155" cm="1">
        <f t="array" aca="1" ref="F442" ca="1">IFERROR(_xlfn.STOCKHISTORY("USD/BRL",E442,E442,0,0,1),Preços!$C$3)</f>
        <v>6.1798000000000002</v>
      </c>
    </row>
    <row r="443" spans="5:6" x14ac:dyDescent="0.25">
      <c r="E443" s="147">
        <f t="shared" si="5"/>
        <v>1</v>
      </c>
      <c r="F443" s="155" cm="1">
        <f t="array" aca="1" ref="F443" ca="1">IFERROR(_xlfn.STOCKHISTORY("USD/BRL",E443,E443,0,0,1),Preços!$C$3)</f>
        <v>6.1798000000000002</v>
      </c>
    </row>
    <row r="444" spans="5:6" x14ac:dyDescent="0.25">
      <c r="E444" s="147">
        <f t="shared" si="5"/>
        <v>1</v>
      </c>
      <c r="F444" s="155" cm="1">
        <f t="array" aca="1" ref="F444" ca="1">IFERROR(_xlfn.STOCKHISTORY("USD/BRL",E444,E444,0,0,1),Preços!$C$3)</f>
        <v>6.1798000000000002</v>
      </c>
    </row>
    <row r="445" spans="5:6" x14ac:dyDescent="0.25">
      <c r="E445" s="147">
        <f t="shared" si="5"/>
        <v>1</v>
      </c>
      <c r="F445" s="155" cm="1">
        <f t="array" aca="1" ref="F445" ca="1">IFERROR(_xlfn.STOCKHISTORY("USD/BRL",E445,E445,0,0,1),Preços!$C$3)</f>
        <v>6.1798000000000002</v>
      </c>
    </row>
    <row r="446" spans="5:6" x14ac:dyDescent="0.25">
      <c r="E446" s="147">
        <f t="shared" si="5"/>
        <v>1</v>
      </c>
      <c r="F446" s="155" cm="1">
        <f t="array" aca="1" ref="F446" ca="1">IFERROR(_xlfn.STOCKHISTORY("USD/BRL",E446,E446,0,0,1),Preços!$C$3)</f>
        <v>6.1798000000000002</v>
      </c>
    </row>
    <row r="447" spans="5:6" x14ac:dyDescent="0.25">
      <c r="E447" s="147">
        <f t="shared" si="5"/>
        <v>1</v>
      </c>
      <c r="F447" s="155" cm="1">
        <f t="array" aca="1" ref="F447" ca="1">IFERROR(_xlfn.STOCKHISTORY("USD/BRL",E447,E447,0,0,1),Preços!$C$3)</f>
        <v>6.1798000000000002</v>
      </c>
    </row>
    <row r="448" spans="5:6" x14ac:dyDescent="0.25">
      <c r="E448" s="147">
        <f t="shared" si="5"/>
        <v>1</v>
      </c>
      <c r="F448" s="155" cm="1">
        <f t="array" aca="1" ref="F448" ca="1">IFERROR(_xlfn.STOCKHISTORY("USD/BRL",E448,E448,0,0,1),Preços!$C$3)</f>
        <v>6.1798000000000002</v>
      </c>
    </row>
    <row r="449" spans="5:6" x14ac:dyDescent="0.25">
      <c r="E449" s="147">
        <f t="shared" si="5"/>
        <v>1</v>
      </c>
      <c r="F449" s="155" cm="1">
        <f t="array" aca="1" ref="F449" ca="1">IFERROR(_xlfn.STOCKHISTORY("USD/BRL",E449,E449,0,0,1),Preços!$C$3)</f>
        <v>6.1798000000000002</v>
      </c>
    </row>
    <row r="450" spans="5:6" x14ac:dyDescent="0.25">
      <c r="E450" s="147">
        <f t="shared" si="5"/>
        <v>1</v>
      </c>
      <c r="F450" s="155" cm="1">
        <f t="array" aca="1" ref="F450" ca="1">IFERROR(_xlfn.STOCKHISTORY("USD/BRL",E450,E450,0,0,1),Preços!$C$3)</f>
        <v>6.1798000000000002</v>
      </c>
    </row>
    <row r="451" spans="5:6" x14ac:dyDescent="0.25">
      <c r="E451" s="147">
        <f t="shared" si="5"/>
        <v>1</v>
      </c>
      <c r="F451" s="155" cm="1">
        <f t="array" aca="1" ref="F451" ca="1">IFERROR(_xlfn.STOCKHISTORY("USD/BRL",E451,E451,0,0,1),Preços!$C$3)</f>
        <v>6.1798000000000002</v>
      </c>
    </row>
    <row r="452" spans="5:6" x14ac:dyDescent="0.25">
      <c r="E452" s="147">
        <f t="shared" ref="E452:E515" si="6">DATE(YEAR(D358),MONTH(D358),1)</f>
        <v>1</v>
      </c>
      <c r="F452" s="155" cm="1">
        <f t="array" aca="1" ref="F452" ca="1">IFERROR(_xlfn.STOCKHISTORY("USD/BRL",E452,E452,0,0,1),Preços!$C$3)</f>
        <v>6.1798000000000002</v>
      </c>
    </row>
    <row r="453" spans="5:6" x14ac:dyDescent="0.25">
      <c r="E453" s="147">
        <f t="shared" si="6"/>
        <v>1</v>
      </c>
      <c r="F453" s="155" cm="1">
        <f t="array" aca="1" ref="F453" ca="1">IFERROR(_xlfn.STOCKHISTORY("USD/BRL",E453,E453,0,0,1),Preços!$C$3)</f>
        <v>6.1798000000000002</v>
      </c>
    </row>
    <row r="454" spans="5:6" x14ac:dyDescent="0.25">
      <c r="E454" s="147">
        <f t="shared" si="6"/>
        <v>1</v>
      </c>
      <c r="F454" s="155" cm="1">
        <f t="array" aca="1" ref="F454" ca="1">IFERROR(_xlfn.STOCKHISTORY("USD/BRL",E454,E454,0,0,1),Preços!$C$3)</f>
        <v>6.1798000000000002</v>
      </c>
    </row>
    <row r="455" spans="5:6" x14ac:dyDescent="0.25">
      <c r="E455" s="147">
        <f t="shared" si="6"/>
        <v>1</v>
      </c>
      <c r="F455" s="155" cm="1">
        <f t="array" aca="1" ref="F455" ca="1">IFERROR(_xlfn.STOCKHISTORY("USD/BRL",E455,E455,0,0,1),Preços!$C$3)</f>
        <v>6.1798000000000002</v>
      </c>
    </row>
    <row r="456" spans="5:6" x14ac:dyDescent="0.25">
      <c r="E456" s="147">
        <f t="shared" si="6"/>
        <v>1</v>
      </c>
      <c r="F456" s="155" cm="1">
        <f t="array" aca="1" ref="F456" ca="1">IFERROR(_xlfn.STOCKHISTORY("USD/BRL",E456,E456,0,0,1),Preços!$C$3)</f>
        <v>6.1798000000000002</v>
      </c>
    </row>
    <row r="457" spans="5:6" x14ac:dyDescent="0.25">
      <c r="E457" s="147">
        <f t="shared" si="6"/>
        <v>1</v>
      </c>
      <c r="F457" s="155" cm="1">
        <f t="array" aca="1" ref="F457" ca="1">IFERROR(_xlfn.STOCKHISTORY("USD/BRL",E457,E457,0,0,1),Preços!$C$3)</f>
        <v>6.1798000000000002</v>
      </c>
    </row>
    <row r="458" spans="5:6" x14ac:dyDescent="0.25">
      <c r="E458" s="147">
        <f t="shared" si="6"/>
        <v>1</v>
      </c>
      <c r="F458" s="155" cm="1">
        <f t="array" aca="1" ref="F458" ca="1">IFERROR(_xlfn.STOCKHISTORY("USD/BRL",E458,E458,0,0,1),Preços!$C$3)</f>
        <v>6.1798000000000002</v>
      </c>
    </row>
    <row r="459" spans="5:6" x14ac:dyDescent="0.25">
      <c r="E459" s="147">
        <f t="shared" si="6"/>
        <v>1</v>
      </c>
      <c r="F459" s="155" cm="1">
        <f t="array" aca="1" ref="F459" ca="1">IFERROR(_xlfn.STOCKHISTORY("USD/BRL",E459,E459,0,0,1),Preços!$C$3)</f>
        <v>6.1798000000000002</v>
      </c>
    </row>
    <row r="460" spans="5:6" x14ac:dyDescent="0.25">
      <c r="E460" s="147">
        <f t="shared" si="6"/>
        <v>1</v>
      </c>
      <c r="F460" s="155" cm="1">
        <f t="array" aca="1" ref="F460" ca="1">IFERROR(_xlfn.STOCKHISTORY("USD/BRL",E460,E460,0,0,1),Preços!$C$3)</f>
        <v>6.1798000000000002</v>
      </c>
    </row>
    <row r="461" spans="5:6" x14ac:dyDescent="0.25">
      <c r="E461" s="147">
        <f t="shared" si="6"/>
        <v>1</v>
      </c>
      <c r="F461" s="155" cm="1">
        <f t="array" aca="1" ref="F461" ca="1">IFERROR(_xlfn.STOCKHISTORY("USD/BRL",E461,E461,0,0,1),Preços!$C$3)</f>
        <v>6.1798000000000002</v>
      </c>
    </row>
    <row r="462" spans="5:6" x14ac:dyDescent="0.25">
      <c r="E462" s="147">
        <f t="shared" si="6"/>
        <v>1</v>
      </c>
      <c r="F462" s="155" cm="1">
        <f t="array" aca="1" ref="F462" ca="1">IFERROR(_xlfn.STOCKHISTORY("USD/BRL",E462,E462,0,0,1),Preços!$C$3)</f>
        <v>6.1798000000000002</v>
      </c>
    </row>
    <row r="463" spans="5:6" x14ac:dyDescent="0.25">
      <c r="E463" s="147">
        <f t="shared" si="6"/>
        <v>1</v>
      </c>
      <c r="F463" s="155" cm="1">
        <f t="array" aca="1" ref="F463" ca="1">IFERROR(_xlfn.STOCKHISTORY("USD/BRL",E463,E463,0,0,1),Preços!$C$3)</f>
        <v>6.1798000000000002</v>
      </c>
    </row>
    <row r="464" spans="5:6" x14ac:dyDescent="0.25">
      <c r="E464" s="147">
        <f t="shared" si="6"/>
        <v>1</v>
      </c>
      <c r="F464" s="155" cm="1">
        <f t="array" aca="1" ref="F464" ca="1">IFERROR(_xlfn.STOCKHISTORY("USD/BRL",E464,E464,0,0,1),Preços!$C$3)</f>
        <v>6.1798000000000002</v>
      </c>
    </row>
    <row r="465" spans="5:6" x14ac:dyDescent="0.25">
      <c r="E465" s="147">
        <f t="shared" si="6"/>
        <v>1</v>
      </c>
      <c r="F465" s="155" cm="1">
        <f t="array" aca="1" ref="F465" ca="1">IFERROR(_xlfn.STOCKHISTORY("USD/BRL",E465,E465,0,0,1),Preços!$C$3)</f>
        <v>6.1798000000000002</v>
      </c>
    </row>
    <row r="466" spans="5:6" x14ac:dyDescent="0.25">
      <c r="E466" s="147">
        <f t="shared" si="6"/>
        <v>1</v>
      </c>
      <c r="F466" s="155" cm="1">
        <f t="array" aca="1" ref="F466" ca="1">IFERROR(_xlfn.STOCKHISTORY("USD/BRL",E466,E466,0,0,1),Preços!$C$3)</f>
        <v>6.1798000000000002</v>
      </c>
    </row>
    <row r="467" spans="5:6" x14ac:dyDescent="0.25">
      <c r="E467" s="147">
        <f t="shared" si="6"/>
        <v>1</v>
      </c>
      <c r="F467" s="155" cm="1">
        <f t="array" aca="1" ref="F467" ca="1">IFERROR(_xlfn.STOCKHISTORY("USD/BRL",E467,E467,0,0,1),Preços!$C$3)</f>
        <v>6.1798000000000002</v>
      </c>
    </row>
    <row r="468" spans="5:6" x14ac:dyDescent="0.25">
      <c r="E468" s="147">
        <f t="shared" si="6"/>
        <v>1</v>
      </c>
      <c r="F468" s="155" cm="1">
        <f t="array" aca="1" ref="F468" ca="1">IFERROR(_xlfn.STOCKHISTORY("USD/BRL",E468,E468,0,0,1),Preços!$C$3)</f>
        <v>6.1798000000000002</v>
      </c>
    </row>
    <row r="469" spans="5:6" x14ac:dyDescent="0.25">
      <c r="E469" s="147">
        <f t="shared" si="6"/>
        <v>1</v>
      </c>
      <c r="F469" s="155" cm="1">
        <f t="array" aca="1" ref="F469" ca="1">IFERROR(_xlfn.STOCKHISTORY("USD/BRL",E469,E469,0,0,1),Preços!$C$3)</f>
        <v>6.1798000000000002</v>
      </c>
    </row>
    <row r="470" spans="5:6" x14ac:dyDescent="0.25">
      <c r="E470" s="147">
        <f t="shared" si="6"/>
        <v>1</v>
      </c>
      <c r="F470" s="155" cm="1">
        <f t="array" aca="1" ref="F470" ca="1">IFERROR(_xlfn.STOCKHISTORY("USD/BRL",E470,E470,0,0,1),Preços!$C$3)</f>
        <v>6.1798000000000002</v>
      </c>
    </row>
    <row r="471" spans="5:6" x14ac:dyDescent="0.25">
      <c r="E471" s="147">
        <f t="shared" si="6"/>
        <v>1</v>
      </c>
      <c r="F471" s="155" cm="1">
        <f t="array" aca="1" ref="F471" ca="1">IFERROR(_xlfn.STOCKHISTORY("USD/BRL",E471,E471,0,0,1),Preços!$C$3)</f>
        <v>6.1798000000000002</v>
      </c>
    </row>
    <row r="472" spans="5:6" x14ac:dyDescent="0.25">
      <c r="E472" s="147">
        <f t="shared" si="6"/>
        <v>1</v>
      </c>
      <c r="F472" s="155" cm="1">
        <f t="array" aca="1" ref="F472" ca="1">IFERROR(_xlfn.STOCKHISTORY("USD/BRL",E472,E472,0,0,1),Preços!$C$3)</f>
        <v>6.1798000000000002</v>
      </c>
    </row>
    <row r="473" spans="5:6" x14ac:dyDescent="0.25">
      <c r="E473" s="147">
        <f t="shared" si="6"/>
        <v>1</v>
      </c>
      <c r="F473" s="155" cm="1">
        <f t="array" aca="1" ref="F473" ca="1">IFERROR(_xlfn.STOCKHISTORY("USD/BRL",E473,E473,0,0,1),Preços!$C$3)</f>
        <v>6.1798000000000002</v>
      </c>
    </row>
    <row r="474" spans="5:6" x14ac:dyDescent="0.25">
      <c r="E474" s="147">
        <f t="shared" si="6"/>
        <v>1</v>
      </c>
      <c r="F474" s="155" cm="1">
        <f t="array" aca="1" ref="F474" ca="1">IFERROR(_xlfn.STOCKHISTORY("USD/BRL",E474,E474,0,0,1),Preços!$C$3)</f>
        <v>6.1798000000000002</v>
      </c>
    </row>
    <row r="475" spans="5:6" x14ac:dyDescent="0.25">
      <c r="E475" s="147">
        <f t="shared" si="6"/>
        <v>1</v>
      </c>
      <c r="F475" s="155" cm="1">
        <f t="array" aca="1" ref="F475" ca="1">IFERROR(_xlfn.STOCKHISTORY("USD/BRL",E475,E475,0,0,1),Preços!$C$3)</f>
        <v>6.1798000000000002</v>
      </c>
    </row>
    <row r="476" spans="5:6" x14ac:dyDescent="0.25">
      <c r="E476" s="147">
        <f t="shared" si="6"/>
        <v>1</v>
      </c>
      <c r="F476" s="155" cm="1">
        <f t="array" aca="1" ref="F476" ca="1">IFERROR(_xlfn.STOCKHISTORY("USD/BRL",E476,E476,0,0,1),Preços!$C$3)</f>
        <v>6.1798000000000002</v>
      </c>
    </row>
    <row r="477" spans="5:6" x14ac:dyDescent="0.25">
      <c r="E477" s="147">
        <f t="shared" si="6"/>
        <v>1</v>
      </c>
      <c r="F477" s="155" cm="1">
        <f t="array" aca="1" ref="F477" ca="1">IFERROR(_xlfn.STOCKHISTORY("USD/BRL",E477,E477,0,0,1),Preços!$C$3)</f>
        <v>6.1798000000000002</v>
      </c>
    </row>
    <row r="478" spans="5:6" x14ac:dyDescent="0.25">
      <c r="E478" s="147">
        <f t="shared" si="6"/>
        <v>1</v>
      </c>
      <c r="F478" s="155" cm="1">
        <f t="array" aca="1" ref="F478" ca="1">IFERROR(_xlfn.STOCKHISTORY("USD/BRL",E478,E478,0,0,1),Preços!$C$3)</f>
        <v>6.1798000000000002</v>
      </c>
    </row>
    <row r="479" spans="5:6" x14ac:dyDescent="0.25">
      <c r="E479" s="147">
        <f t="shared" si="6"/>
        <v>1</v>
      </c>
      <c r="F479" s="155" cm="1">
        <f t="array" aca="1" ref="F479" ca="1">IFERROR(_xlfn.STOCKHISTORY("USD/BRL",E479,E479,0,0,1),Preços!$C$3)</f>
        <v>6.1798000000000002</v>
      </c>
    </row>
    <row r="480" spans="5:6" x14ac:dyDescent="0.25">
      <c r="E480" s="147">
        <f t="shared" si="6"/>
        <v>1</v>
      </c>
      <c r="F480" s="155" cm="1">
        <f t="array" aca="1" ref="F480" ca="1">IFERROR(_xlfn.STOCKHISTORY("USD/BRL",E480,E480,0,0,1),Preços!$C$3)</f>
        <v>6.1798000000000002</v>
      </c>
    </row>
    <row r="481" spans="5:6" x14ac:dyDescent="0.25">
      <c r="E481" s="147">
        <f t="shared" si="6"/>
        <v>1</v>
      </c>
      <c r="F481" s="155" cm="1">
        <f t="array" aca="1" ref="F481" ca="1">IFERROR(_xlfn.STOCKHISTORY("USD/BRL",E481,E481,0,0,1),Preços!$C$3)</f>
        <v>6.1798000000000002</v>
      </c>
    </row>
    <row r="482" spans="5:6" x14ac:dyDescent="0.25">
      <c r="E482" s="147">
        <f t="shared" si="6"/>
        <v>1</v>
      </c>
      <c r="F482" s="155" cm="1">
        <f t="array" aca="1" ref="F482" ca="1">IFERROR(_xlfn.STOCKHISTORY("USD/BRL",E482,E482,0,0,1),Preços!$C$3)</f>
        <v>6.1798000000000002</v>
      </c>
    </row>
    <row r="483" spans="5:6" x14ac:dyDescent="0.25">
      <c r="E483" s="147">
        <f t="shared" si="6"/>
        <v>1</v>
      </c>
      <c r="F483" s="155" cm="1">
        <f t="array" aca="1" ref="F483" ca="1">IFERROR(_xlfn.STOCKHISTORY("USD/BRL",E483,E483,0,0,1),Preços!$C$3)</f>
        <v>6.1798000000000002</v>
      </c>
    </row>
    <row r="484" spans="5:6" x14ac:dyDescent="0.25">
      <c r="E484" s="147">
        <f t="shared" si="6"/>
        <v>1</v>
      </c>
      <c r="F484" s="155" cm="1">
        <f t="array" aca="1" ref="F484" ca="1">IFERROR(_xlfn.STOCKHISTORY("USD/BRL",E484,E484,0,0,1),Preços!$C$3)</f>
        <v>6.1798000000000002</v>
      </c>
    </row>
    <row r="485" spans="5:6" x14ac:dyDescent="0.25">
      <c r="E485" s="147">
        <f t="shared" si="6"/>
        <v>1</v>
      </c>
      <c r="F485" s="155" cm="1">
        <f t="array" aca="1" ref="F485" ca="1">IFERROR(_xlfn.STOCKHISTORY("USD/BRL",E485,E485,0,0,1),Preços!$C$3)</f>
        <v>6.1798000000000002</v>
      </c>
    </row>
    <row r="486" spans="5:6" x14ac:dyDescent="0.25">
      <c r="E486" s="147">
        <f t="shared" si="6"/>
        <v>1</v>
      </c>
      <c r="F486" s="155" cm="1">
        <f t="array" aca="1" ref="F486" ca="1">IFERROR(_xlfn.STOCKHISTORY("USD/BRL",E486,E486,0,0,1),Preços!$C$3)</f>
        <v>6.1798000000000002</v>
      </c>
    </row>
    <row r="487" spans="5:6" x14ac:dyDescent="0.25">
      <c r="E487" s="147">
        <f t="shared" si="6"/>
        <v>1</v>
      </c>
      <c r="F487" s="155" cm="1">
        <f t="array" aca="1" ref="F487" ca="1">IFERROR(_xlfn.STOCKHISTORY("USD/BRL",E487,E487,0,0,1),Preços!$C$3)</f>
        <v>6.1798000000000002</v>
      </c>
    </row>
    <row r="488" spans="5:6" x14ac:dyDescent="0.25">
      <c r="E488" s="147">
        <f t="shared" si="6"/>
        <v>1</v>
      </c>
      <c r="F488" s="155" cm="1">
        <f t="array" aca="1" ref="F488" ca="1">IFERROR(_xlfn.STOCKHISTORY("USD/BRL",E488,E488,0,0,1),Preços!$C$3)</f>
        <v>6.1798000000000002</v>
      </c>
    </row>
    <row r="489" spans="5:6" x14ac:dyDescent="0.25">
      <c r="E489" s="147">
        <f t="shared" si="6"/>
        <v>1</v>
      </c>
      <c r="F489" s="155" cm="1">
        <f t="array" aca="1" ref="F489" ca="1">IFERROR(_xlfn.STOCKHISTORY("USD/BRL",E489,E489,0,0,1),Preços!$C$3)</f>
        <v>6.1798000000000002</v>
      </c>
    </row>
    <row r="490" spans="5:6" x14ac:dyDescent="0.25">
      <c r="E490" s="147">
        <f t="shared" si="6"/>
        <v>1</v>
      </c>
      <c r="F490" s="155" cm="1">
        <f t="array" aca="1" ref="F490" ca="1">IFERROR(_xlfn.STOCKHISTORY("USD/BRL",E490,E490,0,0,1),Preços!$C$3)</f>
        <v>6.1798000000000002</v>
      </c>
    </row>
    <row r="491" spans="5:6" x14ac:dyDescent="0.25">
      <c r="E491" s="147">
        <f t="shared" si="6"/>
        <v>1</v>
      </c>
      <c r="F491" s="155" cm="1">
        <f t="array" aca="1" ref="F491" ca="1">IFERROR(_xlfn.STOCKHISTORY("USD/BRL",E491,E491,0,0,1),Preços!$C$3)</f>
        <v>6.1798000000000002</v>
      </c>
    </row>
    <row r="492" spans="5:6" x14ac:dyDescent="0.25">
      <c r="E492" s="147">
        <f t="shared" si="6"/>
        <v>1</v>
      </c>
      <c r="F492" s="155" cm="1">
        <f t="array" aca="1" ref="F492" ca="1">IFERROR(_xlfn.STOCKHISTORY("USD/BRL",E492,E492,0,0,1),Preços!$C$3)</f>
        <v>6.1798000000000002</v>
      </c>
    </row>
    <row r="493" spans="5:6" x14ac:dyDescent="0.25">
      <c r="E493" s="147">
        <f t="shared" si="6"/>
        <v>1</v>
      </c>
      <c r="F493" s="155" cm="1">
        <f t="array" aca="1" ref="F493" ca="1">IFERROR(_xlfn.STOCKHISTORY("USD/BRL",E493,E493,0,0,1),Preços!$C$3)</f>
        <v>6.1798000000000002</v>
      </c>
    </row>
    <row r="494" spans="5:6" x14ac:dyDescent="0.25">
      <c r="E494" s="147">
        <f t="shared" si="6"/>
        <v>1</v>
      </c>
      <c r="F494" s="155" cm="1">
        <f t="array" aca="1" ref="F494" ca="1">IFERROR(_xlfn.STOCKHISTORY("USD/BRL",E494,E494,0,0,1),Preços!$C$3)</f>
        <v>6.1798000000000002</v>
      </c>
    </row>
    <row r="495" spans="5:6" x14ac:dyDescent="0.25">
      <c r="E495" s="147">
        <f t="shared" si="6"/>
        <v>1</v>
      </c>
      <c r="F495" s="155" cm="1">
        <f t="array" aca="1" ref="F495" ca="1">IFERROR(_xlfn.STOCKHISTORY("USD/BRL",E495,E495,0,0,1),Preços!$C$3)</f>
        <v>6.1798000000000002</v>
      </c>
    </row>
    <row r="496" spans="5:6" x14ac:dyDescent="0.25">
      <c r="E496" s="147">
        <f t="shared" si="6"/>
        <v>1</v>
      </c>
      <c r="F496" s="155" cm="1">
        <f t="array" aca="1" ref="F496" ca="1">IFERROR(_xlfn.STOCKHISTORY("USD/BRL",E496,E496,0,0,1),Preços!$C$3)</f>
        <v>6.1798000000000002</v>
      </c>
    </row>
    <row r="497" spans="5:6" x14ac:dyDescent="0.25">
      <c r="E497" s="147">
        <f t="shared" si="6"/>
        <v>1</v>
      </c>
      <c r="F497" s="155" cm="1">
        <f t="array" aca="1" ref="F497" ca="1">IFERROR(_xlfn.STOCKHISTORY("USD/BRL",E497,E497,0,0,1),Preços!$C$3)</f>
        <v>6.1798000000000002</v>
      </c>
    </row>
    <row r="498" spans="5:6" x14ac:dyDescent="0.25">
      <c r="E498" s="147">
        <f t="shared" si="6"/>
        <v>1</v>
      </c>
      <c r="F498" s="155" cm="1">
        <f t="array" aca="1" ref="F498" ca="1">IFERROR(_xlfn.STOCKHISTORY("USD/BRL",E498,E498,0,0,1),Preços!$C$3)</f>
        <v>6.1798000000000002</v>
      </c>
    </row>
    <row r="499" spans="5:6" x14ac:dyDescent="0.25">
      <c r="E499" s="147">
        <f t="shared" si="6"/>
        <v>1</v>
      </c>
      <c r="F499" s="155" cm="1">
        <f t="array" aca="1" ref="F499" ca="1">IFERROR(_xlfn.STOCKHISTORY("USD/BRL",E499,E499,0,0,1),Preços!$C$3)</f>
        <v>6.1798000000000002</v>
      </c>
    </row>
    <row r="500" spans="5:6" x14ac:dyDescent="0.25">
      <c r="E500" s="147">
        <f t="shared" si="6"/>
        <v>1</v>
      </c>
      <c r="F500" s="155" cm="1">
        <f t="array" aca="1" ref="F500" ca="1">IFERROR(_xlfn.STOCKHISTORY("USD/BRL",E500,E500,0,0,1),Preços!$C$3)</f>
        <v>6.1798000000000002</v>
      </c>
    </row>
    <row r="501" spans="5:6" x14ac:dyDescent="0.25">
      <c r="E501" s="147">
        <f t="shared" si="6"/>
        <v>1</v>
      </c>
      <c r="F501" s="155" cm="1">
        <f t="array" aca="1" ref="F501" ca="1">IFERROR(_xlfn.STOCKHISTORY("USD/BRL",E501,E501,0,0,1),Preços!$C$3)</f>
        <v>6.1798000000000002</v>
      </c>
    </row>
    <row r="502" spans="5:6" x14ac:dyDescent="0.25">
      <c r="E502" s="147">
        <f t="shared" si="6"/>
        <v>1</v>
      </c>
      <c r="F502" s="155" cm="1">
        <f t="array" aca="1" ref="F502" ca="1">IFERROR(_xlfn.STOCKHISTORY("USD/BRL",E502,E502,0,0,1),Preços!$C$3)</f>
        <v>6.1798000000000002</v>
      </c>
    </row>
    <row r="503" spans="5:6" x14ac:dyDescent="0.25">
      <c r="E503" s="147">
        <f t="shared" si="6"/>
        <v>1</v>
      </c>
      <c r="F503" s="155" cm="1">
        <f t="array" aca="1" ref="F503" ca="1">IFERROR(_xlfn.STOCKHISTORY("USD/BRL",E503,E503,0,0,1),Preços!$C$3)</f>
        <v>6.1798000000000002</v>
      </c>
    </row>
    <row r="504" spans="5:6" x14ac:dyDescent="0.25">
      <c r="E504" s="147">
        <f t="shared" si="6"/>
        <v>1</v>
      </c>
      <c r="F504" s="155" cm="1">
        <f t="array" aca="1" ref="F504" ca="1">IFERROR(_xlfn.STOCKHISTORY("USD/BRL",E504,E504,0,0,1),Preços!$C$3)</f>
        <v>6.1798000000000002</v>
      </c>
    </row>
    <row r="505" spans="5:6" x14ac:dyDescent="0.25">
      <c r="E505" s="147">
        <f t="shared" si="6"/>
        <v>1</v>
      </c>
      <c r="F505" s="155" cm="1">
        <f t="array" aca="1" ref="F505" ca="1">IFERROR(_xlfn.STOCKHISTORY("USD/BRL",E505,E505,0,0,1),Preços!$C$3)</f>
        <v>6.1798000000000002</v>
      </c>
    </row>
    <row r="506" spans="5:6" x14ac:dyDescent="0.25">
      <c r="E506" s="147">
        <f t="shared" si="6"/>
        <v>1</v>
      </c>
      <c r="F506" s="155" cm="1">
        <f t="array" aca="1" ref="F506" ca="1">IFERROR(_xlfn.STOCKHISTORY("USD/BRL",E506,E506,0,0,1),Preços!$C$3)</f>
        <v>6.1798000000000002</v>
      </c>
    </row>
    <row r="507" spans="5:6" x14ac:dyDescent="0.25">
      <c r="E507" s="147">
        <f t="shared" si="6"/>
        <v>1</v>
      </c>
      <c r="F507" s="155" cm="1">
        <f t="array" aca="1" ref="F507" ca="1">IFERROR(_xlfn.STOCKHISTORY("USD/BRL",E507,E507,0,0,1),Preços!$C$3)</f>
        <v>6.1798000000000002</v>
      </c>
    </row>
    <row r="508" spans="5:6" x14ac:dyDescent="0.25">
      <c r="E508" s="147">
        <f t="shared" si="6"/>
        <v>1</v>
      </c>
      <c r="F508" s="155" cm="1">
        <f t="array" aca="1" ref="F508" ca="1">IFERROR(_xlfn.STOCKHISTORY("USD/BRL",E508,E508,0,0,1),Preços!$C$3)</f>
        <v>6.1798000000000002</v>
      </c>
    </row>
    <row r="509" spans="5:6" x14ac:dyDescent="0.25">
      <c r="E509" s="147">
        <f t="shared" si="6"/>
        <v>1</v>
      </c>
      <c r="F509" s="155" cm="1">
        <f t="array" aca="1" ref="F509" ca="1">IFERROR(_xlfn.STOCKHISTORY("USD/BRL",E509,E509,0,0,1),Preços!$C$3)</f>
        <v>6.1798000000000002</v>
      </c>
    </row>
    <row r="510" spans="5:6" x14ac:dyDescent="0.25">
      <c r="E510" s="147">
        <f t="shared" si="6"/>
        <v>1</v>
      </c>
      <c r="F510" s="155" cm="1">
        <f t="array" aca="1" ref="F510" ca="1">IFERROR(_xlfn.STOCKHISTORY("USD/BRL",E510,E510,0,0,1),Preços!$C$3)</f>
        <v>6.1798000000000002</v>
      </c>
    </row>
    <row r="511" spans="5:6" x14ac:dyDescent="0.25">
      <c r="E511" s="147">
        <f t="shared" si="6"/>
        <v>1</v>
      </c>
      <c r="F511" s="155" cm="1">
        <f t="array" aca="1" ref="F511" ca="1">IFERROR(_xlfn.STOCKHISTORY("USD/BRL",E511,E511,0,0,1),Preços!$C$3)</f>
        <v>6.1798000000000002</v>
      </c>
    </row>
    <row r="512" spans="5:6" x14ac:dyDescent="0.25">
      <c r="E512" s="147">
        <f t="shared" si="6"/>
        <v>1</v>
      </c>
      <c r="F512" s="155" cm="1">
        <f t="array" aca="1" ref="F512" ca="1">IFERROR(_xlfn.STOCKHISTORY("USD/BRL",E512,E512,0,0,1),Preços!$C$3)</f>
        <v>6.1798000000000002</v>
      </c>
    </row>
    <row r="513" spans="5:6" x14ac:dyDescent="0.25">
      <c r="E513" s="147">
        <f t="shared" si="6"/>
        <v>1</v>
      </c>
      <c r="F513" s="155" cm="1">
        <f t="array" aca="1" ref="F513" ca="1">IFERROR(_xlfn.STOCKHISTORY("USD/BRL",E513,E513,0,0,1),Preços!$C$3)</f>
        <v>6.1798000000000002</v>
      </c>
    </row>
    <row r="514" spans="5:6" x14ac:dyDescent="0.25">
      <c r="E514" s="147">
        <f t="shared" si="6"/>
        <v>1</v>
      </c>
      <c r="F514" s="155" cm="1">
        <f t="array" aca="1" ref="F514" ca="1">IFERROR(_xlfn.STOCKHISTORY("USD/BRL",E514,E514,0,0,1),Preços!$C$3)</f>
        <v>6.1798000000000002</v>
      </c>
    </row>
    <row r="515" spans="5:6" x14ac:dyDescent="0.25">
      <c r="E515" s="147">
        <f t="shared" si="6"/>
        <v>1</v>
      </c>
      <c r="F515" s="155" cm="1">
        <f t="array" aca="1" ref="F515" ca="1">IFERROR(_xlfn.STOCKHISTORY("USD/BRL",E515,E515,0,0,1),Preços!$C$3)</f>
        <v>6.1798000000000002</v>
      </c>
    </row>
    <row r="516" spans="5:6" x14ac:dyDescent="0.25">
      <c r="E516" s="147">
        <f t="shared" ref="E516:E579" si="7">DATE(YEAR(D422),MONTH(D422),1)</f>
        <v>1</v>
      </c>
      <c r="F516" s="155" cm="1">
        <f t="array" aca="1" ref="F516" ca="1">IFERROR(_xlfn.STOCKHISTORY("USD/BRL",E516,E516,0,0,1),Preços!$C$3)</f>
        <v>6.1798000000000002</v>
      </c>
    </row>
    <row r="517" spans="5:6" x14ac:dyDescent="0.25">
      <c r="E517" s="147">
        <f t="shared" si="7"/>
        <v>1</v>
      </c>
      <c r="F517" s="155" cm="1">
        <f t="array" aca="1" ref="F517" ca="1">IFERROR(_xlfn.STOCKHISTORY("USD/BRL",E517,E517,0,0,1),Preços!$C$3)</f>
        <v>6.1798000000000002</v>
      </c>
    </row>
    <row r="518" spans="5:6" x14ac:dyDescent="0.25">
      <c r="E518" s="147">
        <f t="shared" si="7"/>
        <v>1</v>
      </c>
      <c r="F518" s="155" cm="1">
        <f t="array" aca="1" ref="F518" ca="1">IFERROR(_xlfn.STOCKHISTORY("USD/BRL",E518,E518,0,0,1),Preços!$C$3)</f>
        <v>6.1798000000000002</v>
      </c>
    </row>
    <row r="519" spans="5:6" x14ac:dyDescent="0.25">
      <c r="E519" s="147">
        <f t="shared" si="7"/>
        <v>1</v>
      </c>
      <c r="F519" s="155" cm="1">
        <f t="array" aca="1" ref="F519" ca="1">IFERROR(_xlfn.STOCKHISTORY("USD/BRL",E519,E519,0,0,1),Preços!$C$3)</f>
        <v>6.1798000000000002</v>
      </c>
    </row>
    <row r="520" spans="5:6" x14ac:dyDescent="0.25">
      <c r="E520" s="147">
        <f t="shared" si="7"/>
        <v>1</v>
      </c>
      <c r="F520" s="155" cm="1">
        <f t="array" aca="1" ref="F520" ca="1">IFERROR(_xlfn.STOCKHISTORY("USD/BRL",E520,E520,0,0,1),Preços!$C$3)</f>
        <v>6.1798000000000002</v>
      </c>
    </row>
    <row r="521" spans="5:6" x14ac:dyDescent="0.25">
      <c r="E521" s="147">
        <f t="shared" si="7"/>
        <v>1</v>
      </c>
      <c r="F521" s="155" cm="1">
        <f t="array" aca="1" ref="F521" ca="1">IFERROR(_xlfn.STOCKHISTORY("USD/BRL",E521,E521,0,0,1),Preços!$C$3)</f>
        <v>6.1798000000000002</v>
      </c>
    </row>
    <row r="522" spans="5:6" x14ac:dyDescent="0.25">
      <c r="E522" s="147">
        <f t="shared" si="7"/>
        <v>1</v>
      </c>
      <c r="F522" s="155" cm="1">
        <f t="array" aca="1" ref="F522" ca="1">IFERROR(_xlfn.STOCKHISTORY("USD/BRL",E522,E522,0,0,1),Preços!$C$3)</f>
        <v>6.1798000000000002</v>
      </c>
    </row>
    <row r="523" spans="5:6" x14ac:dyDescent="0.25">
      <c r="E523" s="147">
        <f t="shared" si="7"/>
        <v>1</v>
      </c>
      <c r="F523" s="155" cm="1">
        <f t="array" aca="1" ref="F523" ca="1">IFERROR(_xlfn.STOCKHISTORY("USD/BRL",E523,E523,0,0,1),Preços!$C$3)</f>
        <v>6.1798000000000002</v>
      </c>
    </row>
    <row r="524" spans="5:6" x14ac:dyDescent="0.25">
      <c r="E524" s="147">
        <f t="shared" si="7"/>
        <v>1</v>
      </c>
      <c r="F524" s="155" cm="1">
        <f t="array" aca="1" ref="F524" ca="1">IFERROR(_xlfn.STOCKHISTORY("USD/BRL",E524,E524,0,0,1),Preços!$C$3)</f>
        <v>6.1798000000000002</v>
      </c>
    </row>
    <row r="525" spans="5:6" x14ac:dyDescent="0.25">
      <c r="E525" s="147">
        <f t="shared" si="7"/>
        <v>1</v>
      </c>
      <c r="F525" s="155" cm="1">
        <f t="array" aca="1" ref="F525" ca="1">IFERROR(_xlfn.STOCKHISTORY("USD/BRL",E525,E525,0,0,1),Preços!$C$3)</f>
        <v>6.1798000000000002</v>
      </c>
    </row>
    <row r="526" spans="5:6" x14ac:dyDescent="0.25">
      <c r="E526" s="147">
        <f t="shared" si="7"/>
        <v>1</v>
      </c>
      <c r="F526" s="155" cm="1">
        <f t="array" aca="1" ref="F526" ca="1">IFERROR(_xlfn.STOCKHISTORY("USD/BRL",E526,E526,0,0,1),Preços!$C$3)</f>
        <v>6.1798000000000002</v>
      </c>
    </row>
    <row r="527" spans="5:6" x14ac:dyDescent="0.25">
      <c r="E527" s="147">
        <f t="shared" si="7"/>
        <v>1</v>
      </c>
      <c r="F527" s="155" cm="1">
        <f t="array" aca="1" ref="F527" ca="1">IFERROR(_xlfn.STOCKHISTORY("USD/BRL",E527,E527,0,0,1),Preços!$C$3)</f>
        <v>6.1798000000000002</v>
      </c>
    </row>
    <row r="528" spans="5:6" x14ac:dyDescent="0.25">
      <c r="E528" s="147">
        <f t="shared" si="7"/>
        <v>1</v>
      </c>
      <c r="F528" s="155" cm="1">
        <f t="array" aca="1" ref="F528" ca="1">IFERROR(_xlfn.STOCKHISTORY("USD/BRL",E528,E528,0,0,1),Preços!$C$3)</f>
        <v>6.1798000000000002</v>
      </c>
    </row>
    <row r="529" spans="5:6" x14ac:dyDescent="0.25">
      <c r="E529" s="147">
        <f t="shared" si="7"/>
        <v>1</v>
      </c>
      <c r="F529" s="155" cm="1">
        <f t="array" aca="1" ref="F529" ca="1">IFERROR(_xlfn.STOCKHISTORY("USD/BRL",E529,E529,0,0,1),Preços!$C$3)</f>
        <v>6.1798000000000002</v>
      </c>
    </row>
    <row r="530" spans="5:6" x14ac:dyDescent="0.25">
      <c r="E530" s="147">
        <f t="shared" si="7"/>
        <v>1</v>
      </c>
      <c r="F530" s="155" cm="1">
        <f t="array" aca="1" ref="F530" ca="1">IFERROR(_xlfn.STOCKHISTORY("USD/BRL",E530,E530,0,0,1),Preços!$C$3)</f>
        <v>6.1798000000000002</v>
      </c>
    </row>
    <row r="531" spans="5:6" x14ac:dyDescent="0.25">
      <c r="E531" s="147">
        <f t="shared" si="7"/>
        <v>1</v>
      </c>
      <c r="F531" s="155" cm="1">
        <f t="array" aca="1" ref="F531" ca="1">IFERROR(_xlfn.STOCKHISTORY("USD/BRL",E531,E531,0,0,1),Preços!$C$3)</f>
        <v>6.1798000000000002</v>
      </c>
    </row>
    <row r="532" spans="5:6" x14ac:dyDescent="0.25">
      <c r="E532" s="147">
        <f t="shared" si="7"/>
        <v>1</v>
      </c>
      <c r="F532" s="155" cm="1">
        <f t="array" aca="1" ref="F532" ca="1">IFERROR(_xlfn.STOCKHISTORY("USD/BRL",E532,E532,0,0,1),Preços!$C$3)</f>
        <v>6.1798000000000002</v>
      </c>
    </row>
    <row r="533" spans="5:6" x14ac:dyDescent="0.25">
      <c r="E533" s="147">
        <f t="shared" si="7"/>
        <v>1</v>
      </c>
      <c r="F533" s="155" cm="1">
        <f t="array" aca="1" ref="F533" ca="1">IFERROR(_xlfn.STOCKHISTORY("USD/BRL",E533,E533,0,0,1),Preços!$C$3)</f>
        <v>6.1798000000000002</v>
      </c>
    </row>
    <row r="534" spans="5:6" x14ac:dyDescent="0.25">
      <c r="E534" s="147">
        <f t="shared" si="7"/>
        <v>1</v>
      </c>
      <c r="F534" s="155" cm="1">
        <f t="array" aca="1" ref="F534" ca="1">IFERROR(_xlfn.STOCKHISTORY("USD/BRL",E534,E534,0,0,1),Preços!$C$3)</f>
        <v>6.1798000000000002</v>
      </c>
    </row>
    <row r="535" spans="5:6" x14ac:dyDescent="0.25">
      <c r="E535" s="147">
        <f t="shared" si="7"/>
        <v>1</v>
      </c>
      <c r="F535" s="155" cm="1">
        <f t="array" aca="1" ref="F535" ca="1">IFERROR(_xlfn.STOCKHISTORY("USD/BRL",E535,E535,0,0,1),Preços!$C$3)</f>
        <v>6.1798000000000002</v>
      </c>
    </row>
    <row r="536" spans="5:6" x14ac:dyDescent="0.25">
      <c r="E536" s="147">
        <f t="shared" si="7"/>
        <v>1</v>
      </c>
      <c r="F536" s="155" cm="1">
        <f t="array" aca="1" ref="F536" ca="1">IFERROR(_xlfn.STOCKHISTORY("USD/BRL",E536,E536,0,0,1),Preços!$C$3)</f>
        <v>6.1798000000000002</v>
      </c>
    </row>
    <row r="537" spans="5:6" x14ac:dyDescent="0.25">
      <c r="E537" s="147">
        <f t="shared" si="7"/>
        <v>1</v>
      </c>
      <c r="F537" s="155" cm="1">
        <f t="array" aca="1" ref="F537" ca="1">IFERROR(_xlfn.STOCKHISTORY("USD/BRL",E537,E537,0,0,1),Preços!$C$3)</f>
        <v>6.1798000000000002</v>
      </c>
    </row>
    <row r="538" spans="5:6" x14ac:dyDescent="0.25">
      <c r="E538" s="147">
        <f t="shared" si="7"/>
        <v>1</v>
      </c>
      <c r="F538" s="155" cm="1">
        <f t="array" aca="1" ref="F538" ca="1">IFERROR(_xlfn.STOCKHISTORY("USD/BRL",E538,E538,0,0,1),Preços!$C$3)</f>
        <v>6.1798000000000002</v>
      </c>
    </row>
    <row r="539" spans="5:6" x14ac:dyDescent="0.25">
      <c r="E539" s="147">
        <f t="shared" si="7"/>
        <v>1</v>
      </c>
      <c r="F539" s="155" cm="1">
        <f t="array" aca="1" ref="F539" ca="1">IFERROR(_xlfn.STOCKHISTORY("USD/BRL",E539,E539,0,0,1),Preços!$C$3)</f>
        <v>6.1798000000000002</v>
      </c>
    </row>
    <row r="540" spans="5:6" x14ac:dyDescent="0.25">
      <c r="E540" s="147">
        <f t="shared" si="7"/>
        <v>1</v>
      </c>
      <c r="F540" s="155" cm="1">
        <f t="array" aca="1" ref="F540" ca="1">IFERROR(_xlfn.STOCKHISTORY("USD/BRL",E540,E540,0,0,1),Preços!$C$3)</f>
        <v>6.1798000000000002</v>
      </c>
    </row>
    <row r="541" spans="5:6" x14ac:dyDescent="0.25">
      <c r="E541" s="147">
        <f t="shared" si="7"/>
        <v>1</v>
      </c>
      <c r="F541" s="155" cm="1">
        <f t="array" aca="1" ref="F541" ca="1">IFERROR(_xlfn.STOCKHISTORY("USD/BRL",E541,E541,0,0,1),Preços!$C$3)</f>
        <v>6.1798000000000002</v>
      </c>
    </row>
    <row r="542" spans="5:6" x14ac:dyDescent="0.25">
      <c r="E542" s="147">
        <f t="shared" si="7"/>
        <v>1</v>
      </c>
      <c r="F542" s="155" cm="1">
        <f t="array" aca="1" ref="F542" ca="1">IFERROR(_xlfn.STOCKHISTORY("USD/BRL",E542,E542,0,0,1),Preços!$C$3)</f>
        <v>6.1798000000000002</v>
      </c>
    </row>
    <row r="543" spans="5:6" x14ac:dyDescent="0.25">
      <c r="E543" s="147">
        <f t="shared" si="7"/>
        <v>1</v>
      </c>
      <c r="F543" s="155" cm="1">
        <f t="array" aca="1" ref="F543" ca="1">IFERROR(_xlfn.STOCKHISTORY("USD/BRL",E543,E543,0,0,1),Preços!$C$3)</f>
        <v>6.1798000000000002</v>
      </c>
    </row>
    <row r="544" spans="5:6" x14ac:dyDescent="0.25">
      <c r="E544" s="147">
        <f t="shared" si="7"/>
        <v>1</v>
      </c>
      <c r="F544" s="155" cm="1">
        <f t="array" aca="1" ref="F544" ca="1">IFERROR(_xlfn.STOCKHISTORY("USD/BRL",E544,E544,0,0,1),Preços!$C$3)</f>
        <v>6.1798000000000002</v>
      </c>
    </row>
    <row r="545" spans="5:6" x14ac:dyDescent="0.25">
      <c r="E545" s="147">
        <f t="shared" si="7"/>
        <v>1</v>
      </c>
      <c r="F545" s="155" cm="1">
        <f t="array" aca="1" ref="F545" ca="1">IFERROR(_xlfn.STOCKHISTORY("USD/BRL",E545,E545,0,0,1),Preços!$C$3)</f>
        <v>6.1798000000000002</v>
      </c>
    </row>
    <row r="546" spans="5:6" x14ac:dyDescent="0.25">
      <c r="E546" s="147">
        <f t="shared" si="7"/>
        <v>1</v>
      </c>
      <c r="F546" s="155" cm="1">
        <f t="array" aca="1" ref="F546" ca="1">IFERROR(_xlfn.STOCKHISTORY("USD/BRL",E546,E546,0,0,1),Preços!$C$3)</f>
        <v>6.1798000000000002</v>
      </c>
    </row>
    <row r="547" spans="5:6" x14ac:dyDescent="0.25">
      <c r="E547" s="147">
        <f t="shared" si="7"/>
        <v>1</v>
      </c>
      <c r="F547" s="155" cm="1">
        <f t="array" aca="1" ref="F547" ca="1">IFERROR(_xlfn.STOCKHISTORY("USD/BRL",E547,E547,0,0,1),Preços!$C$3)</f>
        <v>6.1798000000000002</v>
      </c>
    </row>
    <row r="548" spans="5:6" x14ac:dyDescent="0.25">
      <c r="E548" s="147">
        <f t="shared" si="7"/>
        <v>1</v>
      </c>
      <c r="F548" s="155" cm="1">
        <f t="array" aca="1" ref="F548" ca="1">IFERROR(_xlfn.STOCKHISTORY("USD/BRL",E548,E548,0,0,1),Preços!$C$3)</f>
        <v>6.1798000000000002</v>
      </c>
    </row>
    <row r="549" spans="5:6" x14ac:dyDescent="0.25">
      <c r="E549" s="147">
        <f t="shared" si="7"/>
        <v>1</v>
      </c>
      <c r="F549" s="155" cm="1">
        <f t="array" aca="1" ref="F549" ca="1">IFERROR(_xlfn.STOCKHISTORY("USD/BRL",E549,E549,0,0,1),Preços!$C$3)</f>
        <v>6.1798000000000002</v>
      </c>
    </row>
    <row r="550" spans="5:6" x14ac:dyDescent="0.25">
      <c r="E550" s="147">
        <f t="shared" si="7"/>
        <v>1</v>
      </c>
      <c r="F550" s="155" cm="1">
        <f t="array" aca="1" ref="F550" ca="1">IFERROR(_xlfn.STOCKHISTORY("USD/BRL",E550,E550,0,0,1),Preços!$C$3)</f>
        <v>6.1798000000000002</v>
      </c>
    </row>
    <row r="551" spans="5:6" x14ac:dyDescent="0.25">
      <c r="E551" s="147">
        <f t="shared" si="7"/>
        <v>1</v>
      </c>
      <c r="F551" s="155" cm="1">
        <f t="array" aca="1" ref="F551" ca="1">IFERROR(_xlfn.STOCKHISTORY("USD/BRL",E551,E551,0,0,1),Preços!$C$3)</f>
        <v>6.1798000000000002</v>
      </c>
    </row>
    <row r="552" spans="5:6" x14ac:dyDescent="0.25">
      <c r="E552" s="147">
        <f t="shared" si="7"/>
        <v>1</v>
      </c>
      <c r="F552" s="155" cm="1">
        <f t="array" aca="1" ref="F552" ca="1">IFERROR(_xlfn.STOCKHISTORY("USD/BRL",E552,E552,0,0,1),Preços!$C$3)</f>
        <v>6.1798000000000002</v>
      </c>
    </row>
    <row r="553" spans="5:6" x14ac:dyDescent="0.25">
      <c r="E553" s="147">
        <f t="shared" si="7"/>
        <v>1</v>
      </c>
      <c r="F553" s="155" cm="1">
        <f t="array" aca="1" ref="F553" ca="1">IFERROR(_xlfn.STOCKHISTORY("USD/BRL",E553,E553,0,0,1),Preços!$C$3)</f>
        <v>6.1798000000000002</v>
      </c>
    </row>
    <row r="554" spans="5:6" x14ac:dyDescent="0.25">
      <c r="E554" s="147">
        <f t="shared" si="7"/>
        <v>1</v>
      </c>
      <c r="F554" s="155" cm="1">
        <f t="array" aca="1" ref="F554" ca="1">IFERROR(_xlfn.STOCKHISTORY("USD/BRL",E554,E554,0,0,1),Preços!$C$3)</f>
        <v>6.1798000000000002</v>
      </c>
    </row>
    <row r="555" spans="5:6" x14ac:dyDescent="0.25">
      <c r="E555" s="147">
        <f t="shared" si="7"/>
        <v>1</v>
      </c>
      <c r="F555" s="155" cm="1">
        <f t="array" aca="1" ref="F555" ca="1">IFERROR(_xlfn.STOCKHISTORY("USD/BRL",E555,E555,0,0,1),Preços!$C$3)</f>
        <v>6.1798000000000002</v>
      </c>
    </row>
    <row r="556" spans="5:6" x14ac:dyDescent="0.25">
      <c r="E556" s="147">
        <f t="shared" si="7"/>
        <v>1</v>
      </c>
      <c r="F556" s="155" cm="1">
        <f t="array" aca="1" ref="F556" ca="1">IFERROR(_xlfn.STOCKHISTORY("USD/BRL",E556,E556,0,0,1),Preços!$C$3)</f>
        <v>6.1798000000000002</v>
      </c>
    </row>
    <row r="557" spans="5:6" x14ac:dyDescent="0.25">
      <c r="E557" s="147">
        <f t="shared" si="7"/>
        <v>1</v>
      </c>
      <c r="F557" s="155" cm="1">
        <f t="array" aca="1" ref="F557" ca="1">IFERROR(_xlfn.STOCKHISTORY("USD/BRL",E557,E557,0,0,1),Preços!$C$3)</f>
        <v>6.1798000000000002</v>
      </c>
    </row>
    <row r="558" spans="5:6" x14ac:dyDescent="0.25">
      <c r="E558" s="147">
        <f t="shared" si="7"/>
        <v>1</v>
      </c>
      <c r="F558" s="155" cm="1">
        <f t="array" aca="1" ref="F558" ca="1">IFERROR(_xlfn.STOCKHISTORY("USD/BRL",E558,E558,0,0,1),Preços!$C$3)</f>
        <v>6.1798000000000002</v>
      </c>
    </row>
    <row r="559" spans="5:6" x14ac:dyDescent="0.25">
      <c r="E559" s="147">
        <f t="shared" si="7"/>
        <v>1</v>
      </c>
      <c r="F559" s="155" cm="1">
        <f t="array" aca="1" ref="F559" ca="1">IFERROR(_xlfn.STOCKHISTORY("USD/BRL",E559,E559,0,0,1),Preços!$C$3)</f>
        <v>6.1798000000000002</v>
      </c>
    </row>
    <row r="560" spans="5:6" x14ac:dyDescent="0.25">
      <c r="E560" s="147">
        <f t="shared" si="7"/>
        <v>1</v>
      </c>
      <c r="F560" s="155" cm="1">
        <f t="array" aca="1" ref="F560" ca="1">IFERROR(_xlfn.STOCKHISTORY("USD/BRL",E560,E560,0,0,1),Preços!$C$3)</f>
        <v>6.1798000000000002</v>
      </c>
    </row>
    <row r="561" spans="5:6" x14ac:dyDescent="0.25">
      <c r="E561" s="147">
        <f t="shared" si="7"/>
        <v>1</v>
      </c>
      <c r="F561" s="155" cm="1">
        <f t="array" aca="1" ref="F561" ca="1">IFERROR(_xlfn.STOCKHISTORY("USD/BRL",E561,E561,0,0,1),Preços!$C$3)</f>
        <v>6.1798000000000002</v>
      </c>
    </row>
    <row r="562" spans="5:6" x14ac:dyDescent="0.25">
      <c r="E562" s="147">
        <f t="shared" si="7"/>
        <v>1</v>
      </c>
      <c r="F562" s="155" cm="1">
        <f t="array" aca="1" ref="F562" ca="1">IFERROR(_xlfn.STOCKHISTORY("USD/BRL",E562,E562,0,0,1),Preços!$C$3)</f>
        <v>6.1798000000000002</v>
      </c>
    </row>
    <row r="563" spans="5:6" x14ac:dyDescent="0.25">
      <c r="E563" s="147">
        <f t="shared" si="7"/>
        <v>1</v>
      </c>
      <c r="F563" s="155" cm="1">
        <f t="array" aca="1" ref="F563" ca="1">IFERROR(_xlfn.STOCKHISTORY("USD/BRL",E563,E563,0,0,1),Preços!$C$3)</f>
        <v>6.1798000000000002</v>
      </c>
    </row>
    <row r="564" spans="5:6" x14ac:dyDescent="0.25">
      <c r="E564" s="147">
        <f t="shared" si="7"/>
        <v>1</v>
      </c>
      <c r="F564" s="155" cm="1">
        <f t="array" aca="1" ref="F564" ca="1">IFERROR(_xlfn.STOCKHISTORY("USD/BRL",E564,E564,0,0,1),Preços!$C$3)</f>
        <v>6.1798000000000002</v>
      </c>
    </row>
    <row r="565" spans="5:6" x14ac:dyDescent="0.25">
      <c r="E565" s="147">
        <f t="shared" si="7"/>
        <v>1</v>
      </c>
      <c r="F565" s="155" cm="1">
        <f t="array" aca="1" ref="F565" ca="1">IFERROR(_xlfn.STOCKHISTORY("USD/BRL",E565,E565,0,0,1),Preços!$C$3)</f>
        <v>6.1798000000000002</v>
      </c>
    </row>
    <row r="566" spans="5:6" x14ac:dyDescent="0.25">
      <c r="E566" s="147">
        <f t="shared" si="7"/>
        <v>1</v>
      </c>
      <c r="F566" s="155" cm="1">
        <f t="array" aca="1" ref="F566" ca="1">IFERROR(_xlfn.STOCKHISTORY("USD/BRL",E566,E566,0,0,1),Preços!$C$3)</f>
        <v>6.1798000000000002</v>
      </c>
    </row>
    <row r="567" spans="5:6" x14ac:dyDescent="0.25">
      <c r="E567" s="147">
        <f t="shared" si="7"/>
        <v>1</v>
      </c>
      <c r="F567" s="155" cm="1">
        <f t="array" aca="1" ref="F567" ca="1">IFERROR(_xlfn.STOCKHISTORY("USD/BRL",E567,E567,0,0,1),Preços!$C$3)</f>
        <v>6.1798000000000002</v>
      </c>
    </row>
    <row r="568" spans="5:6" x14ac:dyDescent="0.25">
      <c r="E568" s="147">
        <f t="shared" si="7"/>
        <v>1</v>
      </c>
      <c r="F568" s="155" cm="1">
        <f t="array" aca="1" ref="F568" ca="1">IFERROR(_xlfn.STOCKHISTORY("USD/BRL",E568,E568,0,0,1),Preços!$C$3)</f>
        <v>6.1798000000000002</v>
      </c>
    </row>
    <row r="569" spans="5:6" x14ac:dyDescent="0.25">
      <c r="E569" s="147">
        <f t="shared" si="7"/>
        <v>1</v>
      </c>
      <c r="F569" s="155" cm="1">
        <f t="array" aca="1" ref="F569" ca="1">IFERROR(_xlfn.STOCKHISTORY("USD/BRL",E569,E569,0,0,1),Preços!$C$3)</f>
        <v>6.1798000000000002</v>
      </c>
    </row>
    <row r="570" spans="5:6" x14ac:dyDescent="0.25">
      <c r="E570" s="147">
        <f t="shared" si="7"/>
        <v>1</v>
      </c>
      <c r="F570" s="155" cm="1">
        <f t="array" aca="1" ref="F570" ca="1">IFERROR(_xlfn.STOCKHISTORY("USD/BRL",E570,E570,0,0,1),Preços!$C$3)</f>
        <v>6.1798000000000002</v>
      </c>
    </row>
    <row r="571" spans="5:6" x14ac:dyDescent="0.25">
      <c r="E571" s="147">
        <f t="shared" si="7"/>
        <v>1</v>
      </c>
      <c r="F571" s="155" cm="1">
        <f t="array" aca="1" ref="F571" ca="1">IFERROR(_xlfn.STOCKHISTORY("USD/BRL",E571,E571,0,0,1),Preços!$C$3)</f>
        <v>6.1798000000000002</v>
      </c>
    </row>
    <row r="572" spans="5:6" x14ac:dyDescent="0.25">
      <c r="E572" s="147">
        <f t="shared" si="7"/>
        <v>1</v>
      </c>
      <c r="F572" s="155" cm="1">
        <f t="array" aca="1" ref="F572" ca="1">IFERROR(_xlfn.STOCKHISTORY("USD/BRL",E572,E572,0,0,1),Preços!$C$3)</f>
        <v>6.1798000000000002</v>
      </c>
    </row>
    <row r="573" spans="5:6" x14ac:dyDescent="0.25">
      <c r="E573" s="147">
        <f t="shared" si="7"/>
        <v>1</v>
      </c>
      <c r="F573" s="155" cm="1">
        <f t="array" aca="1" ref="F573" ca="1">IFERROR(_xlfn.STOCKHISTORY("USD/BRL",E573,E573,0,0,1),Preços!$C$3)</f>
        <v>6.1798000000000002</v>
      </c>
    </row>
    <row r="574" spans="5:6" x14ac:dyDescent="0.25">
      <c r="E574" s="147">
        <f t="shared" si="7"/>
        <v>1</v>
      </c>
      <c r="F574" s="155" cm="1">
        <f t="array" aca="1" ref="F574" ca="1">IFERROR(_xlfn.STOCKHISTORY("USD/BRL",E574,E574,0,0,1),Preços!$C$3)</f>
        <v>6.1798000000000002</v>
      </c>
    </row>
    <row r="575" spans="5:6" x14ac:dyDescent="0.25">
      <c r="E575" s="147">
        <f t="shared" si="7"/>
        <v>1</v>
      </c>
      <c r="F575" s="155" cm="1">
        <f t="array" aca="1" ref="F575" ca="1">IFERROR(_xlfn.STOCKHISTORY("USD/BRL",E575,E575,0,0,1),Preços!$C$3)</f>
        <v>6.1798000000000002</v>
      </c>
    </row>
    <row r="576" spans="5:6" x14ac:dyDescent="0.25">
      <c r="E576" s="147">
        <f t="shared" si="7"/>
        <v>1</v>
      </c>
      <c r="F576" s="155" cm="1">
        <f t="array" aca="1" ref="F576" ca="1">IFERROR(_xlfn.STOCKHISTORY("USD/BRL",E576,E576,0,0,1),Preços!$C$3)</f>
        <v>6.1798000000000002</v>
      </c>
    </row>
    <row r="577" spans="5:6" x14ac:dyDescent="0.25">
      <c r="E577" s="147">
        <f t="shared" si="7"/>
        <v>1</v>
      </c>
      <c r="F577" s="155" cm="1">
        <f t="array" aca="1" ref="F577" ca="1">IFERROR(_xlfn.STOCKHISTORY("USD/BRL",E577,E577,0,0,1),Preços!$C$3)</f>
        <v>6.1798000000000002</v>
      </c>
    </row>
    <row r="578" spans="5:6" x14ac:dyDescent="0.25">
      <c r="E578" s="147">
        <f t="shared" si="7"/>
        <v>1</v>
      </c>
      <c r="F578" s="155" cm="1">
        <f t="array" aca="1" ref="F578" ca="1">IFERROR(_xlfn.STOCKHISTORY("USD/BRL",E578,E578,0,0,1),Preços!$C$3)</f>
        <v>6.1798000000000002</v>
      </c>
    </row>
    <row r="579" spans="5:6" x14ac:dyDescent="0.25">
      <c r="E579" s="147">
        <f t="shared" si="7"/>
        <v>1</v>
      </c>
      <c r="F579" s="155" cm="1">
        <f t="array" aca="1" ref="F579" ca="1">IFERROR(_xlfn.STOCKHISTORY("USD/BRL",E579,E579,0,0,1),Preços!$C$3)</f>
        <v>6.1798000000000002</v>
      </c>
    </row>
    <row r="580" spans="5:6" x14ac:dyDescent="0.25">
      <c r="E580" s="147">
        <f t="shared" ref="E580:E643" si="8">DATE(YEAR(D486),MONTH(D486),1)</f>
        <v>1</v>
      </c>
      <c r="F580" s="155" cm="1">
        <f t="array" aca="1" ref="F580" ca="1">IFERROR(_xlfn.STOCKHISTORY("USD/BRL",E580,E580,0,0,1),Preços!$C$3)</f>
        <v>6.1798000000000002</v>
      </c>
    </row>
    <row r="581" spans="5:6" x14ac:dyDescent="0.25">
      <c r="E581" s="147">
        <f t="shared" si="8"/>
        <v>1</v>
      </c>
      <c r="F581" s="155" cm="1">
        <f t="array" aca="1" ref="F581" ca="1">IFERROR(_xlfn.STOCKHISTORY("USD/BRL",E581,E581,0,0,1),Preços!$C$3)</f>
        <v>6.1798000000000002</v>
      </c>
    </row>
    <row r="582" spans="5:6" x14ac:dyDescent="0.25">
      <c r="E582" s="147">
        <f t="shared" si="8"/>
        <v>1</v>
      </c>
      <c r="F582" s="155" cm="1">
        <f t="array" aca="1" ref="F582" ca="1">IFERROR(_xlfn.STOCKHISTORY("USD/BRL",E582,E582,0,0,1),Preços!$C$3)</f>
        <v>6.1798000000000002</v>
      </c>
    </row>
    <row r="583" spans="5:6" x14ac:dyDescent="0.25">
      <c r="E583" s="147">
        <f t="shared" si="8"/>
        <v>1</v>
      </c>
      <c r="F583" s="155" cm="1">
        <f t="array" aca="1" ref="F583" ca="1">IFERROR(_xlfn.STOCKHISTORY("USD/BRL",E583,E583,0,0,1),Preços!$C$3)</f>
        <v>6.1798000000000002</v>
      </c>
    </row>
    <row r="584" spans="5:6" x14ac:dyDescent="0.25">
      <c r="E584" s="147">
        <f t="shared" si="8"/>
        <v>1</v>
      </c>
      <c r="F584" s="155" cm="1">
        <f t="array" aca="1" ref="F584" ca="1">IFERROR(_xlfn.STOCKHISTORY("USD/BRL",E584,E584,0,0,1),Preços!$C$3)</f>
        <v>6.1798000000000002</v>
      </c>
    </row>
    <row r="585" spans="5:6" x14ac:dyDescent="0.25">
      <c r="E585" s="147">
        <f t="shared" si="8"/>
        <v>1</v>
      </c>
      <c r="F585" s="155" cm="1">
        <f t="array" aca="1" ref="F585" ca="1">IFERROR(_xlfn.STOCKHISTORY("USD/BRL",E585,E585,0,0,1),Preços!$C$3)</f>
        <v>6.1798000000000002</v>
      </c>
    </row>
    <row r="586" spans="5:6" x14ac:dyDescent="0.25">
      <c r="E586" s="147">
        <f t="shared" si="8"/>
        <v>1</v>
      </c>
      <c r="F586" s="155" cm="1">
        <f t="array" aca="1" ref="F586" ca="1">IFERROR(_xlfn.STOCKHISTORY("USD/BRL",E586,E586,0,0,1),Preços!$C$3)</f>
        <v>6.1798000000000002</v>
      </c>
    </row>
    <row r="587" spans="5:6" x14ac:dyDescent="0.25">
      <c r="E587" s="147">
        <f t="shared" si="8"/>
        <v>1</v>
      </c>
      <c r="F587" s="155" cm="1">
        <f t="array" aca="1" ref="F587" ca="1">IFERROR(_xlfn.STOCKHISTORY("USD/BRL",E587,E587,0,0,1),Preços!$C$3)</f>
        <v>6.1798000000000002</v>
      </c>
    </row>
    <row r="588" spans="5:6" x14ac:dyDescent="0.25">
      <c r="E588" s="147">
        <f t="shared" si="8"/>
        <v>1</v>
      </c>
      <c r="F588" s="155" cm="1">
        <f t="array" aca="1" ref="F588" ca="1">IFERROR(_xlfn.STOCKHISTORY("USD/BRL",E588,E588,0,0,1),Preços!$C$3)</f>
        <v>6.1798000000000002</v>
      </c>
    </row>
    <row r="589" spans="5:6" x14ac:dyDescent="0.25">
      <c r="E589" s="147">
        <f t="shared" si="8"/>
        <v>1</v>
      </c>
      <c r="F589" s="155" cm="1">
        <f t="array" aca="1" ref="F589" ca="1">IFERROR(_xlfn.STOCKHISTORY("USD/BRL",E589,E589,0,0,1),Preços!$C$3)</f>
        <v>6.1798000000000002</v>
      </c>
    </row>
    <row r="590" spans="5:6" x14ac:dyDescent="0.25">
      <c r="E590" s="147">
        <f t="shared" si="8"/>
        <v>1</v>
      </c>
      <c r="F590" s="155" cm="1">
        <f t="array" aca="1" ref="F590" ca="1">IFERROR(_xlfn.STOCKHISTORY("USD/BRL",E590,E590,0,0,1),Preços!$C$3)</f>
        <v>6.1798000000000002</v>
      </c>
    </row>
    <row r="591" spans="5:6" x14ac:dyDescent="0.25">
      <c r="E591" s="147">
        <f t="shared" si="8"/>
        <v>1</v>
      </c>
      <c r="F591" s="155" cm="1">
        <f t="array" aca="1" ref="F591" ca="1">IFERROR(_xlfn.STOCKHISTORY("USD/BRL",E591,E591,0,0,1),Preços!$C$3)</f>
        <v>6.1798000000000002</v>
      </c>
    </row>
    <row r="592" spans="5:6" x14ac:dyDescent="0.25">
      <c r="E592" s="147">
        <f t="shared" si="8"/>
        <v>1</v>
      </c>
      <c r="F592" s="155" cm="1">
        <f t="array" aca="1" ref="F592" ca="1">IFERROR(_xlfn.STOCKHISTORY("USD/BRL",E592,E592,0,0,1),Preços!$C$3)</f>
        <v>6.1798000000000002</v>
      </c>
    </row>
    <row r="593" spans="5:6" x14ac:dyDescent="0.25">
      <c r="E593" s="147">
        <f t="shared" si="8"/>
        <v>1</v>
      </c>
      <c r="F593" s="155" cm="1">
        <f t="array" aca="1" ref="F593" ca="1">IFERROR(_xlfn.STOCKHISTORY("USD/BRL",E593,E593,0,0,1),Preços!$C$3)</f>
        <v>6.1798000000000002</v>
      </c>
    </row>
    <row r="594" spans="5:6" x14ac:dyDescent="0.25">
      <c r="E594" s="147">
        <f t="shared" si="8"/>
        <v>1</v>
      </c>
      <c r="F594" s="155" cm="1">
        <f t="array" aca="1" ref="F594" ca="1">IFERROR(_xlfn.STOCKHISTORY("USD/BRL",E594,E594,0,0,1),Preços!$C$3)</f>
        <v>6.1798000000000002</v>
      </c>
    </row>
    <row r="595" spans="5:6" x14ac:dyDescent="0.25">
      <c r="E595" s="147">
        <f t="shared" si="8"/>
        <v>1</v>
      </c>
      <c r="F595" s="155" cm="1">
        <f t="array" aca="1" ref="F595" ca="1">IFERROR(_xlfn.STOCKHISTORY("USD/BRL",E595,E595,0,0,1),Preços!$C$3)</f>
        <v>6.1798000000000002</v>
      </c>
    </row>
    <row r="596" spans="5:6" x14ac:dyDescent="0.25">
      <c r="E596" s="147">
        <f t="shared" si="8"/>
        <v>1</v>
      </c>
      <c r="F596" s="155" cm="1">
        <f t="array" aca="1" ref="F596" ca="1">IFERROR(_xlfn.STOCKHISTORY("USD/BRL",E596,E596,0,0,1),Preços!$C$3)</f>
        <v>6.1798000000000002</v>
      </c>
    </row>
    <row r="597" spans="5:6" x14ac:dyDescent="0.25">
      <c r="E597" s="147">
        <f t="shared" si="8"/>
        <v>1</v>
      </c>
      <c r="F597" s="155" cm="1">
        <f t="array" aca="1" ref="F597" ca="1">IFERROR(_xlfn.STOCKHISTORY("USD/BRL",E597,E597,0,0,1),Preços!$C$3)</f>
        <v>6.1798000000000002</v>
      </c>
    </row>
    <row r="598" spans="5:6" x14ac:dyDescent="0.25">
      <c r="E598" s="147">
        <f t="shared" si="8"/>
        <v>1</v>
      </c>
      <c r="F598" s="155" cm="1">
        <f t="array" aca="1" ref="F598" ca="1">IFERROR(_xlfn.STOCKHISTORY("USD/BRL",E598,E598,0,0,1),Preços!$C$3)</f>
        <v>6.1798000000000002</v>
      </c>
    </row>
    <row r="599" spans="5:6" x14ac:dyDescent="0.25">
      <c r="E599" s="147">
        <f t="shared" si="8"/>
        <v>1</v>
      </c>
      <c r="F599" s="155" cm="1">
        <f t="array" aca="1" ref="F599" ca="1">IFERROR(_xlfn.STOCKHISTORY("USD/BRL",E599,E599,0,0,1),Preços!$C$3)</f>
        <v>6.1798000000000002</v>
      </c>
    </row>
    <row r="600" spans="5:6" x14ac:dyDescent="0.25">
      <c r="E600" s="147">
        <f t="shared" si="8"/>
        <v>1</v>
      </c>
      <c r="F600" s="155" cm="1">
        <f t="array" aca="1" ref="F600" ca="1">IFERROR(_xlfn.STOCKHISTORY("USD/BRL",E600,E600,0,0,1),Preços!$C$3)</f>
        <v>6.1798000000000002</v>
      </c>
    </row>
    <row r="601" spans="5:6" x14ac:dyDescent="0.25">
      <c r="E601" s="147">
        <f t="shared" si="8"/>
        <v>1</v>
      </c>
      <c r="F601" s="155" cm="1">
        <f t="array" aca="1" ref="F601" ca="1">IFERROR(_xlfn.STOCKHISTORY("USD/BRL",E601,E601,0,0,1),Preços!$C$3)</f>
        <v>6.1798000000000002</v>
      </c>
    </row>
    <row r="602" spans="5:6" x14ac:dyDescent="0.25">
      <c r="E602" s="147">
        <f t="shared" si="8"/>
        <v>1</v>
      </c>
      <c r="F602" s="155" cm="1">
        <f t="array" aca="1" ref="F602" ca="1">IFERROR(_xlfn.STOCKHISTORY("USD/BRL",E602,E602,0,0,1),Preços!$C$3)</f>
        <v>6.1798000000000002</v>
      </c>
    </row>
    <row r="603" spans="5:6" x14ac:dyDescent="0.25">
      <c r="E603" s="147">
        <f t="shared" si="8"/>
        <v>1</v>
      </c>
      <c r="F603" s="155" cm="1">
        <f t="array" aca="1" ref="F603" ca="1">IFERROR(_xlfn.STOCKHISTORY("USD/BRL",E603,E603,0,0,1),Preços!$C$3)</f>
        <v>6.1798000000000002</v>
      </c>
    </row>
    <row r="604" spans="5:6" x14ac:dyDescent="0.25">
      <c r="E604" s="147">
        <f t="shared" si="8"/>
        <v>1</v>
      </c>
      <c r="F604" s="155" cm="1">
        <f t="array" aca="1" ref="F604" ca="1">IFERROR(_xlfn.STOCKHISTORY("USD/BRL",E604,E604,0,0,1),Preços!$C$3)</f>
        <v>6.1798000000000002</v>
      </c>
    </row>
    <row r="605" spans="5:6" x14ac:dyDescent="0.25">
      <c r="E605" s="147">
        <f t="shared" si="8"/>
        <v>1</v>
      </c>
      <c r="F605" s="155" cm="1">
        <f t="array" aca="1" ref="F605" ca="1">IFERROR(_xlfn.STOCKHISTORY("USD/BRL",E605,E605,0,0,1),Preços!$C$3)</f>
        <v>6.1798000000000002</v>
      </c>
    </row>
    <row r="606" spans="5:6" x14ac:dyDescent="0.25">
      <c r="E606" s="147">
        <f t="shared" si="8"/>
        <v>1</v>
      </c>
      <c r="F606" s="155" cm="1">
        <f t="array" aca="1" ref="F606" ca="1">IFERROR(_xlfn.STOCKHISTORY("USD/BRL",E606,E606,0,0,1),Preços!$C$3)</f>
        <v>6.1798000000000002</v>
      </c>
    </row>
    <row r="607" spans="5:6" x14ac:dyDescent="0.25">
      <c r="E607" s="147">
        <f t="shared" si="8"/>
        <v>1</v>
      </c>
      <c r="F607" s="155" cm="1">
        <f t="array" aca="1" ref="F607" ca="1">IFERROR(_xlfn.STOCKHISTORY("USD/BRL",E607,E607,0,0,1),Preços!$C$3)</f>
        <v>6.1798000000000002</v>
      </c>
    </row>
    <row r="608" spans="5:6" x14ac:dyDescent="0.25">
      <c r="E608" s="147">
        <f t="shared" si="8"/>
        <v>1</v>
      </c>
      <c r="F608" s="155" cm="1">
        <f t="array" aca="1" ref="F608" ca="1">IFERROR(_xlfn.STOCKHISTORY("USD/BRL",E608,E608,0,0,1),Preços!$C$3)</f>
        <v>6.1798000000000002</v>
      </c>
    </row>
    <row r="609" spans="5:6" x14ac:dyDescent="0.25">
      <c r="E609" s="147">
        <f t="shared" si="8"/>
        <v>1</v>
      </c>
      <c r="F609" s="155" cm="1">
        <f t="array" aca="1" ref="F609" ca="1">IFERROR(_xlfn.STOCKHISTORY("USD/BRL",E609,E609,0,0,1),Preços!$C$3)</f>
        <v>6.1798000000000002</v>
      </c>
    </row>
    <row r="610" spans="5:6" x14ac:dyDescent="0.25">
      <c r="E610" s="147">
        <f t="shared" si="8"/>
        <v>1</v>
      </c>
      <c r="F610" s="155" cm="1">
        <f t="array" aca="1" ref="F610" ca="1">IFERROR(_xlfn.STOCKHISTORY("USD/BRL",E610,E610,0,0,1),Preços!$C$3)</f>
        <v>6.1798000000000002</v>
      </c>
    </row>
    <row r="611" spans="5:6" x14ac:dyDescent="0.25">
      <c r="E611" s="147">
        <f t="shared" si="8"/>
        <v>1</v>
      </c>
      <c r="F611" s="155" cm="1">
        <f t="array" aca="1" ref="F611" ca="1">IFERROR(_xlfn.STOCKHISTORY("USD/BRL",E611,E611,0,0,1),Preços!$C$3)</f>
        <v>6.1798000000000002</v>
      </c>
    </row>
    <row r="612" spans="5:6" x14ac:dyDescent="0.25">
      <c r="E612" s="147">
        <f t="shared" si="8"/>
        <v>1</v>
      </c>
      <c r="F612" s="155" cm="1">
        <f t="array" aca="1" ref="F612" ca="1">IFERROR(_xlfn.STOCKHISTORY("USD/BRL",E612,E612,0,0,1),Preços!$C$3)</f>
        <v>6.1798000000000002</v>
      </c>
    </row>
    <row r="613" spans="5:6" x14ac:dyDescent="0.25">
      <c r="E613" s="147">
        <f t="shared" si="8"/>
        <v>1</v>
      </c>
      <c r="F613" s="155" cm="1">
        <f t="array" aca="1" ref="F613" ca="1">IFERROR(_xlfn.STOCKHISTORY("USD/BRL",E613,E613,0,0,1),Preços!$C$3)</f>
        <v>6.1798000000000002</v>
      </c>
    </row>
    <row r="614" spans="5:6" x14ac:dyDescent="0.25">
      <c r="E614" s="147">
        <f t="shared" si="8"/>
        <v>1</v>
      </c>
      <c r="F614" s="155" cm="1">
        <f t="array" aca="1" ref="F614" ca="1">IFERROR(_xlfn.STOCKHISTORY("USD/BRL",E614,E614,0,0,1),Preços!$C$3)</f>
        <v>6.1798000000000002</v>
      </c>
    </row>
    <row r="615" spans="5:6" x14ac:dyDescent="0.25">
      <c r="E615" s="147">
        <f t="shared" si="8"/>
        <v>1</v>
      </c>
      <c r="F615" s="155" cm="1">
        <f t="array" aca="1" ref="F615" ca="1">IFERROR(_xlfn.STOCKHISTORY("USD/BRL",E615,E615,0,0,1),Preços!$C$3)</f>
        <v>6.1798000000000002</v>
      </c>
    </row>
    <row r="616" spans="5:6" x14ac:dyDescent="0.25">
      <c r="E616" s="147">
        <f t="shared" si="8"/>
        <v>1</v>
      </c>
      <c r="F616" s="155" cm="1">
        <f t="array" aca="1" ref="F616" ca="1">IFERROR(_xlfn.STOCKHISTORY("USD/BRL",E616,E616,0,0,1),Preços!$C$3)</f>
        <v>6.1798000000000002</v>
      </c>
    </row>
    <row r="617" spans="5:6" x14ac:dyDescent="0.25">
      <c r="E617" s="147">
        <f t="shared" si="8"/>
        <v>1</v>
      </c>
      <c r="F617" s="155" cm="1">
        <f t="array" aca="1" ref="F617" ca="1">IFERROR(_xlfn.STOCKHISTORY("USD/BRL",E617,E617,0,0,1),Preços!$C$3)</f>
        <v>6.1798000000000002</v>
      </c>
    </row>
    <row r="618" spans="5:6" x14ac:dyDescent="0.25">
      <c r="E618" s="147">
        <f t="shared" si="8"/>
        <v>1</v>
      </c>
      <c r="F618" s="155" cm="1">
        <f t="array" aca="1" ref="F618" ca="1">IFERROR(_xlfn.STOCKHISTORY("USD/BRL",E618,E618,0,0,1),Preços!$C$3)</f>
        <v>6.1798000000000002</v>
      </c>
    </row>
    <row r="619" spans="5:6" x14ac:dyDescent="0.25">
      <c r="E619" s="147">
        <f t="shared" si="8"/>
        <v>1</v>
      </c>
      <c r="F619" s="155" cm="1">
        <f t="array" aca="1" ref="F619" ca="1">IFERROR(_xlfn.STOCKHISTORY("USD/BRL",E619,E619,0,0,1),Preços!$C$3)</f>
        <v>6.1798000000000002</v>
      </c>
    </row>
    <row r="620" spans="5:6" x14ac:dyDescent="0.25">
      <c r="E620" s="147">
        <f t="shared" si="8"/>
        <v>1</v>
      </c>
      <c r="F620" s="155" cm="1">
        <f t="array" aca="1" ref="F620" ca="1">IFERROR(_xlfn.STOCKHISTORY("USD/BRL",E620,E620,0,0,1),Preços!$C$3)</f>
        <v>6.1798000000000002</v>
      </c>
    </row>
    <row r="621" spans="5:6" x14ac:dyDescent="0.25">
      <c r="E621" s="147">
        <f t="shared" si="8"/>
        <v>1</v>
      </c>
      <c r="F621" s="155" cm="1">
        <f t="array" aca="1" ref="F621" ca="1">IFERROR(_xlfn.STOCKHISTORY("USD/BRL",E621,E621,0,0,1),Preços!$C$3)</f>
        <v>6.1798000000000002</v>
      </c>
    </row>
    <row r="622" spans="5:6" x14ac:dyDescent="0.25">
      <c r="E622" s="147">
        <f t="shared" si="8"/>
        <v>1</v>
      </c>
      <c r="F622" s="155" cm="1">
        <f t="array" aca="1" ref="F622" ca="1">IFERROR(_xlfn.STOCKHISTORY("USD/BRL",E622,E622,0,0,1),Preços!$C$3)</f>
        <v>6.1798000000000002</v>
      </c>
    </row>
    <row r="623" spans="5:6" x14ac:dyDescent="0.25">
      <c r="E623" s="147">
        <f t="shared" si="8"/>
        <v>1</v>
      </c>
      <c r="F623" s="155" cm="1">
        <f t="array" aca="1" ref="F623" ca="1">IFERROR(_xlfn.STOCKHISTORY("USD/BRL",E623,E623,0,0,1),Preços!$C$3)</f>
        <v>6.1798000000000002</v>
      </c>
    </row>
    <row r="624" spans="5:6" x14ac:dyDescent="0.25">
      <c r="E624" s="147">
        <f t="shared" si="8"/>
        <v>1</v>
      </c>
      <c r="F624" s="155" cm="1">
        <f t="array" aca="1" ref="F624" ca="1">IFERROR(_xlfn.STOCKHISTORY("USD/BRL",E624,E624,0,0,1),Preços!$C$3)</f>
        <v>6.1798000000000002</v>
      </c>
    </row>
    <row r="625" spans="5:6" x14ac:dyDescent="0.25">
      <c r="E625" s="147">
        <f t="shared" si="8"/>
        <v>1</v>
      </c>
      <c r="F625" s="155" cm="1">
        <f t="array" aca="1" ref="F625" ca="1">IFERROR(_xlfn.STOCKHISTORY("USD/BRL",E625,E625,0,0,1),Preços!$C$3)</f>
        <v>6.1798000000000002</v>
      </c>
    </row>
    <row r="626" spans="5:6" x14ac:dyDescent="0.25">
      <c r="E626" s="147">
        <f t="shared" si="8"/>
        <v>1</v>
      </c>
      <c r="F626" s="155" cm="1">
        <f t="array" aca="1" ref="F626" ca="1">IFERROR(_xlfn.STOCKHISTORY("USD/BRL",E626,E626,0,0,1),Preços!$C$3)</f>
        <v>6.1798000000000002</v>
      </c>
    </row>
    <row r="627" spans="5:6" x14ac:dyDescent="0.25">
      <c r="E627" s="147">
        <f t="shared" si="8"/>
        <v>1</v>
      </c>
      <c r="F627" s="155" cm="1">
        <f t="array" aca="1" ref="F627" ca="1">IFERROR(_xlfn.STOCKHISTORY("USD/BRL",E627,E627,0,0,1),Preços!$C$3)</f>
        <v>6.1798000000000002</v>
      </c>
    </row>
    <row r="628" spans="5:6" x14ac:dyDescent="0.25">
      <c r="E628" s="147">
        <f t="shared" si="8"/>
        <v>1</v>
      </c>
      <c r="F628" s="155" cm="1">
        <f t="array" aca="1" ref="F628" ca="1">IFERROR(_xlfn.STOCKHISTORY("USD/BRL",E628,E628,0,0,1),Preços!$C$3)</f>
        <v>6.1798000000000002</v>
      </c>
    </row>
    <row r="629" spans="5:6" x14ac:dyDescent="0.25">
      <c r="E629" s="147">
        <f t="shared" si="8"/>
        <v>1</v>
      </c>
      <c r="F629" s="155" cm="1">
        <f t="array" aca="1" ref="F629" ca="1">IFERROR(_xlfn.STOCKHISTORY("USD/BRL",E629,E629,0,0,1),Preços!$C$3)</f>
        <v>6.1798000000000002</v>
      </c>
    </row>
    <row r="630" spans="5:6" x14ac:dyDescent="0.25">
      <c r="E630" s="147">
        <f t="shared" si="8"/>
        <v>1</v>
      </c>
      <c r="F630" s="155" cm="1">
        <f t="array" aca="1" ref="F630" ca="1">IFERROR(_xlfn.STOCKHISTORY("USD/BRL",E630,E630,0,0,1),Preços!$C$3)</f>
        <v>6.1798000000000002</v>
      </c>
    </row>
    <row r="631" spans="5:6" x14ac:dyDescent="0.25">
      <c r="E631" s="147">
        <f t="shared" si="8"/>
        <v>1</v>
      </c>
      <c r="F631" s="155" cm="1">
        <f t="array" aca="1" ref="F631" ca="1">IFERROR(_xlfn.STOCKHISTORY("USD/BRL",E631,E631,0,0,1),Preços!$C$3)</f>
        <v>6.1798000000000002</v>
      </c>
    </row>
    <row r="632" spans="5:6" x14ac:dyDescent="0.25">
      <c r="E632" s="147">
        <f t="shared" si="8"/>
        <v>1</v>
      </c>
      <c r="F632" s="155" cm="1">
        <f t="array" aca="1" ref="F632" ca="1">IFERROR(_xlfn.STOCKHISTORY("USD/BRL",E632,E632,0,0,1),Preços!$C$3)</f>
        <v>6.1798000000000002</v>
      </c>
    </row>
    <row r="633" spans="5:6" x14ac:dyDescent="0.25">
      <c r="E633" s="147">
        <f t="shared" si="8"/>
        <v>1</v>
      </c>
      <c r="F633" s="155" cm="1">
        <f t="array" aca="1" ref="F633" ca="1">IFERROR(_xlfn.STOCKHISTORY("USD/BRL",E633,E633,0,0,1),Preços!$C$3)</f>
        <v>6.1798000000000002</v>
      </c>
    </row>
    <row r="634" spans="5:6" x14ac:dyDescent="0.25">
      <c r="E634" s="147">
        <f t="shared" si="8"/>
        <v>1</v>
      </c>
      <c r="F634" s="155" cm="1">
        <f t="array" aca="1" ref="F634" ca="1">IFERROR(_xlfn.STOCKHISTORY("USD/BRL",E634,E634,0,0,1),Preços!$C$3)</f>
        <v>6.1798000000000002</v>
      </c>
    </row>
    <row r="635" spans="5:6" x14ac:dyDescent="0.25">
      <c r="E635" s="147">
        <f t="shared" si="8"/>
        <v>1</v>
      </c>
      <c r="F635" s="155" cm="1">
        <f t="array" aca="1" ref="F635" ca="1">IFERROR(_xlfn.STOCKHISTORY("USD/BRL",E635,E635,0,0,1),Preços!$C$3)</f>
        <v>6.1798000000000002</v>
      </c>
    </row>
    <row r="636" spans="5:6" x14ac:dyDescent="0.25">
      <c r="E636" s="147">
        <f t="shared" si="8"/>
        <v>1</v>
      </c>
      <c r="F636" s="155" cm="1">
        <f t="array" aca="1" ref="F636" ca="1">IFERROR(_xlfn.STOCKHISTORY("USD/BRL",E636,E636,0,0,1),Preços!$C$3)</f>
        <v>6.1798000000000002</v>
      </c>
    </row>
    <row r="637" spans="5:6" x14ac:dyDescent="0.25">
      <c r="E637" s="147">
        <f t="shared" si="8"/>
        <v>1</v>
      </c>
      <c r="F637" s="155" cm="1">
        <f t="array" aca="1" ref="F637" ca="1">IFERROR(_xlfn.STOCKHISTORY("USD/BRL",E637,E637,0,0,1),Preços!$C$3)</f>
        <v>6.1798000000000002</v>
      </c>
    </row>
    <row r="638" spans="5:6" x14ac:dyDescent="0.25">
      <c r="E638" s="147">
        <f t="shared" si="8"/>
        <v>1</v>
      </c>
      <c r="F638" s="155" cm="1">
        <f t="array" aca="1" ref="F638" ca="1">IFERROR(_xlfn.STOCKHISTORY("USD/BRL",E638,E638,0,0,1),Preços!$C$3)</f>
        <v>6.1798000000000002</v>
      </c>
    </row>
    <row r="639" spans="5:6" x14ac:dyDescent="0.25">
      <c r="E639" s="147">
        <f t="shared" si="8"/>
        <v>1</v>
      </c>
      <c r="F639" s="155" cm="1">
        <f t="array" aca="1" ref="F639" ca="1">IFERROR(_xlfn.STOCKHISTORY("USD/BRL",E639,E639,0,0,1),Preços!$C$3)</f>
        <v>6.1798000000000002</v>
      </c>
    </row>
    <row r="640" spans="5:6" x14ac:dyDescent="0.25">
      <c r="E640" s="147">
        <f t="shared" si="8"/>
        <v>1</v>
      </c>
      <c r="F640" s="155" cm="1">
        <f t="array" aca="1" ref="F640" ca="1">IFERROR(_xlfn.STOCKHISTORY("USD/BRL",E640,E640,0,0,1),Preços!$C$3)</f>
        <v>6.1798000000000002</v>
      </c>
    </row>
    <row r="641" spans="5:6" x14ac:dyDescent="0.25">
      <c r="E641" s="147">
        <f t="shared" si="8"/>
        <v>1</v>
      </c>
      <c r="F641" s="155" cm="1">
        <f t="array" aca="1" ref="F641" ca="1">IFERROR(_xlfn.STOCKHISTORY("USD/BRL",E641,E641,0,0,1),Preços!$C$3)</f>
        <v>6.1798000000000002</v>
      </c>
    </row>
    <row r="642" spans="5:6" x14ac:dyDescent="0.25">
      <c r="E642" s="147">
        <f t="shared" si="8"/>
        <v>1</v>
      </c>
      <c r="F642" s="155" cm="1">
        <f t="array" aca="1" ref="F642" ca="1">IFERROR(_xlfn.STOCKHISTORY("USD/BRL",E642,E642,0,0,1),Preços!$C$3)</f>
        <v>6.1798000000000002</v>
      </c>
    </row>
    <row r="643" spans="5:6" x14ac:dyDescent="0.25">
      <c r="E643" s="147">
        <f t="shared" si="8"/>
        <v>1</v>
      </c>
      <c r="F643" s="155" cm="1">
        <f t="array" aca="1" ref="F643" ca="1">IFERROR(_xlfn.STOCKHISTORY("USD/BRL",E643,E643,0,0,1),Preços!$C$3)</f>
        <v>6.1798000000000002</v>
      </c>
    </row>
    <row r="644" spans="5:6" x14ac:dyDescent="0.25">
      <c r="E644" s="147">
        <f t="shared" ref="E644:E707" si="9">DATE(YEAR(D550),MONTH(D550),1)</f>
        <v>1</v>
      </c>
      <c r="F644" s="155" cm="1">
        <f t="array" aca="1" ref="F644" ca="1">IFERROR(_xlfn.STOCKHISTORY("USD/BRL",E644,E644,0,0,1),Preços!$C$3)</f>
        <v>6.1798000000000002</v>
      </c>
    </row>
    <row r="645" spans="5:6" x14ac:dyDescent="0.25">
      <c r="E645" s="147">
        <f t="shared" si="9"/>
        <v>1</v>
      </c>
      <c r="F645" s="155" cm="1">
        <f t="array" aca="1" ref="F645" ca="1">IFERROR(_xlfn.STOCKHISTORY("USD/BRL",E645,E645,0,0,1),Preços!$C$3)</f>
        <v>6.1798000000000002</v>
      </c>
    </row>
    <row r="646" spans="5:6" x14ac:dyDescent="0.25">
      <c r="E646" s="147">
        <f t="shared" si="9"/>
        <v>1</v>
      </c>
      <c r="F646" s="155" cm="1">
        <f t="array" aca="1" ref="F646" ca="1">IFERROR(_xlfn.STOCKHISTORY("USD/BRL",E646,E646,0,0,1),Preços!$C$3)</f>
        <v>6.1798000000000002</v>
      </c>
    </row>
    <row r="647" spans="5:6" x14ac:dyDescent="0.25">
      <c r="E647" s="147">
        <f t="shared" si="9"/>
        <v>1</v>
      </c>
      <c r="F647" s="155" cm="1">
        <f t="array" aca="1" ref="F647" ca="1">IFERROR(_xlfn.STOCKHISTORY("USD/BRL",E647,E647,0,0,1),Preços!$C$3)</f>
        <v>6.1798000000000002</v>
      </c>
    </row>
    <row r="648" spans="5:6" x14ac:dyDescent="0.25">
      <c r="E648" s="147">
        <f t="shared" si="9"/>
        <v>1</v>
      </c>
      <c r="F648" s="155" cm="1">
        <f t="array" aca="1" ref="F648" ca="1">IFERROR(_xlfn.STOCKHISTORY("USD/BRL",E648,E648,0,0,1),Preços!$C$3)</f>
        <v>6.1798000000000002</v>
      </c>
    </row>
    <row r="649" spans="5:6" x14ac:dyDescent="0.25">
      <c r="E649" s="147">
        <f t="shared" si="9"/>
        <v>1</v>
      </c>
      <c r="F649" s="155" cm="1">
        <f t="array" aca="1" ref="F649" ca="1">IFERROR(_xlfn.STOCKHISTORY("USD/BRL",E649,E649,0,0,1),Preços!$C$3)</f>
        <v>6.1798000000000002</v>
      </c>
    </row>
    <row r="650" spans="5:6" x14ac:dyDescent="0.25">
      <c r="E650" s="147">
        <f t="shared" si="9"/>
        <v>1</v>
      </c>
      <c r="F650" s="155" cm="1">
        <f t="array" aca="1" ref="F650" ca="1">IFERROR(_xlfn.STOCKHISTORY("USD/BRL",E650,E650,0,0,1),Preços!$C$3)</f>
        <v>6.1798000000000002</v>
      </c>
    </row>
    <row r="651" spans="5:6" x14ac:dyDescent="0.25">
      <c r="E651" s="147">
        <f t="shared" si="9"/>
        <v>1</v>
      </c>
      <c r="F651" s="155" cm="1">
        <f t="array" aca="1" ref="F651" ca="1">IFERROR(_xlfn.STOCKHISTORY("USD/BRL",E651,E651,0,0,1),Preços!$C$3)</f>
        <v>6.1798000000000002</v>
      </c>
    </row>
    <row r="652" spans="5:6" x14ac:dyDescent="0.25">
      <c r="E652" s="147">
        <f t="shared" si="9"/>
        <v>1</v>
      </c>
      <c r="F652" s="155" cm="1">
        <f t="array" aca="1" ref="F652" ca="1">IFERROR(_xlfn.STOCKHISTORY("USD/BRL",E652,E652,0,0,1),Preços!$C$3)</f>
        <v>6.1798000000000002</v>
      </c>
    </row>
    <row r="653" spans="5:6" x14ac:dyDescent="0.25">
      <c r="E653" s="147">
        <f t="shared" si="9"/>
        <v>1</v>
      </c>
      <c r="F653" s="155" cm="1">
        <f t="array" aca="1" ref="F653" ca="1">IFERROR(_xlfn.STOCKHISTORY("USD/BRL",E653,E653,0,0,1),Preços!$C$3)</f>
        <v>6.1798000000000002</v>
      </c>
    </row>
    <row r="654" spans="5:6" x14ac:dyDescent="0.25">
      <c r="E654" s="147">
        <f t="shared" si="9"/>
        <v>1</v>
      </c>
      <c r="F654" s="155" cm="1">
        <f t="array" aca="1" ref="F654" ca="1">IFERROR(_xlfn.STOCKHISTORY("USD/BRL",E654,E654,0,0,1),Preços!$C$3)</f>
        <v>6.1798000000000002</v>
      </c>
    </row>
    <row r="655" spans="5:6" x14ac:dyDescent="0.25">
      <c r="E655" s="147">
        <f t="shared" si="9"/>
        <v>1</v>
      </c>
      <c r="F655" s="155" cm="1">
        <f t="array" aca="1" ref="F655" ca="1">IFERROR(_xlfn.STOCKHISTORY("USD/BRL",E655,E655,0,0,1),Preços!$C$3)</f>
        <v>6.1798000000000002</v>
      </c>
    </row>
    <row r="656" spans="5:6" x14ac:dyDescent="0.25">
      <c r="E656" s="147">
        <f t="shared" si="9"/>
        <v>1</v>
      </c>
      <c r="F656" s="155" cm="1">
        <f t="array" aca="1" ref="F656" ca="1">IFERROR(_xlfn.STOCKHISTORY("USD/BRL",E656,E656,0,0,1),Preços!$C$3)</f>
        <v>6.1798000000000002</v>
      </c>
    </row>
    <row r="657" spans="5:6" x14ac:dyDescent="0.25">
      <c r="E657" s="147">
        <f t="shared" si="9"/>
        <v>1</v>
      </c>
      <c r="F657" s="155" cm="1">
        <f t="array" aca="1" ref="F657" ca="1">IFERROR(_xlfn.STOCKHISTORY("USD/BRL",E657,E657,0,0,1),Preços!$C$3)</f>
        <v>6.1798000000000002</v>
      </c>
    </row>
    <row r="658" spans="5:6" x14ac:dyDescent="0.25">
      <c r="E658" s="147">
        <f t="shared" si="9"/>
        <v>1</v>
      </c>
      <c r="F658" s="155" cm="1">
        <f t="array" aca="1" ref="F658" ca="1">IFERROR(_xlfn.STOCKHISTORY("USD/BRL",E658,E658,0,0,1),Preços!$C$3)</f>
        <v>6.1798000000000002</v>
      </c>
    </row>
    <row r="659" spans="5:6" x14ac:dyDescent="0.25">
      <c r="E659" s="147">
        <f t="shared" si="9"/>
        <v>1</v>
      </c>
      <c r="F659" s="155" cm="1">
        <f t="array" aca="1" ref="F659" ca="1">IFERROR(_xlfn.STOCKHISTORY("USD/BRL",E659,E659,0,0,1),Preços!$C$3)</f>
        <v>6.1798000000000002</v>
      </c>
    </row>
    <row r="660" spans="5:6" x14ac:dyDescent="0.25">
      <c r="E660" s="147">
        <f t="shared" si="9"/>
        <v>1</v>
      </c>
      <c r="F660" s="155" cm="1">
        <f t="array" aca="1" ref="F660" ca="1">IFERROR(_xlfn.STOCKHISTORY("USD/BRL",E660,E660,0,0,1),Preços!$C$3)</f>
        <v>6.1798000000000002</v>
      </c>
    </row>
    <row r="661" spans="5:6" x14ac:dyDescent="0.25">
      <c r="E661" s="147">
        <f t="shared" si="9"/>
        <v>1</v>
      </c>
      <c r="F661" s="155" cm="1">
        <f t="array" aca="1" ref="F661" ca="1">IFERROR(_xlfn.STOCKHISTORY("USD/BRL",E661,E661,0,0,1),Preços!$C$3)</f>
        <v>6.1798000000000002</v>
      </c>
    </row>
    <row r="662" spans="5:6" x14ac:dyDescent="0.25">
      <c r="E662" s="147">
        <f t="shared" si="9"/>
        <v>1</v>
      </c>
      <c r="F662" s="155" cm="1">
        <f t="array" aca="1" ref="F662" ca="1">IFERROR(_xlfn.STOCKHISTORY("USD/BRL",E662,E662,0,0,1),Preços!$C$3)</f>
        <v>6.1798000000000002</v>
      </c>
    </row>
    <row r="663" spans="5:6" x14ac:dyDescent="0.25">
      <c r="E663" s="147">
        <f t="shared" si="9"/>
        <v>1</v>
      </c>
      <c r="F663" s="155" cm="1">
        <f t="array" aca="1" ref="F663" ca="1">IFERROR(_xlfn.STOCKHISTORY("USD/BRL",E663,E663,0,0,1),Preços!$C$3)</f>
        <v>6.1798000000000002</v>
      </c>
    </row>
    <row r="664" spans="5:6" x14ac:dyDescent="0.25">
      <c r="E664" s="147">
        <f t="shared" si="9"/>
        <v>1</v>
      </c>
      <c r="F664" s="155" cm="1">
        <f t="array" aca="1" ref="F664" ca="1">IFERROR(_xlfn.STOCKHISTORY("USD/BRL",E664,E664,0,0,1),Preços!$C$3)</f>
        <v>6.1798000000000002</v>
      </c>
    </row>
    <row r="665" spans="5:6" x14ac:dyDescent="0.25">
      <c r="E665" s="147">
        <f t="shared" si="9"/>
        <v>1</v>
      </c>
      <c r="F665" s="155" cm="1">
        <f t="array" aca="1" ref="F665" ca="1">IFERROR(_xlfn.STOCKHISTORY("USD/BRL",E665,E665,0,0,1),Preços!$C$3)</f>
        <v>6.1798000000000002</v>
      </c>
    </row>
    <row r="666" spans="5:6" x14ac:dyDescent="0.25">
      <c r="E666" s="147">
        <f t="shared" si="9"/>
        <v>1</v>
      </c>
      <c r="F666" s="155" cm="1">
        <f t="array" aca="1" ref="F666" ca="1">IFERROR(_xlfn.STOCKHISTORY("USD/BRL",E666,E666,0,0,1),Preços!$C$3)</f>
        <v>6.1798000000000002</v>
      </c>
    </row>
    <row r="667" spans="5:6" x14ac:dyDescent="0.25">
      <c r="E667" s="147">
        <f t="shared" si="9"/>
        <v>1</v>
      </c>
      <c r="F667" s="155" cm="1">
        <f t="array" aca="1" ref="F667" ca="1">IFERROR(_xlfn.STOCKHISTORY("USD/BRL",E667,E667,0,0,1),Preços!$C$3)</f>
        <v>6.1798000000000002</v>
      </c>
    </row>
    <row r="668" spans="5:6" x14ac:dyDescent="0.25">
      <c r="E668" s="147">
        <f t="shared" si="9"/>
        <v>1</v>
      </c>
      <c r="F668" s="155" cm="1">
        <f t="array" aca="1" ref="F668" ca="1">IFERROR(_xlfn.STOCKHISTORY("USD/BRL",E668,E668,0,0,1),Preços!$C$3)</f>
        <v>6.1798000000000002</v>
      </c>
    </row>
    <row r="669" spans="5:6" x14ac:dyDescent="0.25">
      <c r="E669" s="147">
        <f t="shared" si="9"/>
        <v>1</v>
      </c>
      <c r="F669" s="155" cm="1">
        <f t="array" aca="1" ref="F669" ca="1">IFERROR(_xlfn.STOCKHISTORY("USD/BRL",E669,E669,0,0,1),Preços!$C$3)</f>
        <v>6.1798000000000002</v>
      </c>
    </row>
    <row r="670" spans="5:6" x14ac:dyDescent="0.25">
      <c r="E670" s="147">
        <f t="shared" si="9"/>
        <v>1</v>
      </c>
      <c r="F670" s="155" cm="1">
        <f t="array" aca="1" ref="F670" ca="1">IFERROR(_xlfn.STOCKHISTORY("USD/BRL",E670,E670,0,0,1),Preços!$C$3)</f>
        <v>6.1798000000000002</v>
      </c>
    </row>
    <row r="671" spans="5:6" x14ac:dyDescent="0.25">
      <c r="E671" s="147">
        <f t="shared" si="9"/>
        <v>1</v>
      </c>
      <c r="F671" s="155" cm="1">
        <f t="array" aca="1" ref="F671" ca="1">IFERROR(_xlfn.STOCKHISTORY("USD/BRL",E671,E671,0,0,1),Preços!$C$3)</f>
        <v>6.1798000000000002</v>
      </c>
    </row>
    <row r="672" spans="5:6" x14ac:dyDescent="0.25">
      <c r="E672" s="147">
        <f t="shared" si="9"/>
        <v>1</v>
      </c>
      <c r="F672" s="155" cm="1">
        <f t="array" aca="1" ref="F672" ca="1">IFERROR(_xlfn.STOCKHISTORY("USD/BRL",E672,E672,0,0,1),Preços!$C$3)</f>
        <v>6.1798000000000002</v>
      </c>
    </row>
    <row r="673" spans="5:6" x14ac:dyDescent="0.25">
      <c r="E673" s="147">
        <f t="shared" si="9"/>
        <v>1</v>
      </c>
      <c r="F673" s="155" cm="1">
        <f t="array" aca="1" ref="F673" ca="1">IFERROR(_xlfn.STOCKHISTORY("USD/BRL",E673,E673,0,0,1),Preços!$C$3)</f>
        <v>6.1798000000000002</v>
      </c>
    </row>
    <row r="674" spans="5:6" x14ac:dyDescent="0.25">
      <c r="E674" s="147">
        <f t="shared" si="9"/>
        <v>1</v>
      </c>
      <c r="F674" s="155" cm="1">
        <f t="array" aca="1" ref="F674" ca="1">IFERROR(_xlfn.STOCKHISTORY("USD/BRL",E674,E674,0,0,1),Preços!$C$3)</f>
        <v>6.1798000000000002</v>
      </c>
    </row>
    <row r="675" spans="5:6" x14ac:dyDescent="0.25">
      <c r="E675" s="147">
        <f t="shared" si="9"/>
        <v>1</v>
      </c>
      <c r="F675" s="155" cm="1">
        <f t="array" aca="1" ref="F675" ca="1">IFERROR(_xlfn.STOCKHISTORY("USD/BRL",E675,E675,0,0,1),Preços!$C$3)</f>
        <v>6.1798000000000002</v>
      </c>
    </row>
    <row r="676" spans="5:6" x14ac:dyDescent="0.25">
      <c r="E676" s="147">
        <f t="shared" si="9"/>
        <v>1</v>
      </c>
      <c r="F676" s="155" cm="1">
        <f t="array" aca="1" ref="F676" ca="1">IFERROR(_xlfn.STOCKHISTORY("USD/BRL",E676,E676,0,0,1),Preços!$C$3)</f>
        <v>6.1798000000000002</v>
      </c>
    </row>
    <row r="677" spans="5:6" x14ac:dyDescent="0.25">
      <c r="E677" s="147">
        <f t="shared" si="9"/>
        <v>1</v>
      </c>
      <c r="F677" s="155" cm="1">
        <f t="array" aca="1" ref="F677" ca="1">IFERROR(_xlfn.STOCKHISTORY("USD/BRL",E677,E677,0,0,1),Preços!$C$3)</f>
        <v>6.1798000000000002</v>
      </c>
    </row>
    <row r="678" spans="5:6" x14ac:dyDescent="0.25">
      <c r="E678" s="147">
        <f t="shared" si="9"/>
        <v>1</v>
      </c>
      <c r="F678" s="155" cm="1">
        <f t="array" aca="1" ref="F678" ca="1">IFERROR(_xlfn.STOCKHISTORY("USD/BRL",E678,E678,0,0,1),Preços!$C$3)</f>
        <v>6.1798000000000002</v>
      </c>
    </row>
    <row r="679" spans="5:6" x14ac:dyDescent="0.25">
      <c r="E679" s="147">
        <f t="shared" si="9"/>
        <v>1</v>
      </c>
      <c r="F679" s="155" cm="1">
        <f t="array" aca="1" ref="F679" ca="1">IFERROR(_xlfn.STOCKHISTORY("USD/BRL",E679,E679,0,0,1),Preços!$C$3)</f>
        <v>6.1798000000000002</v>
      </c>
    </row>
    <row r="680" spans="5:6" x14ac:dyDescent="0.25">
      <c r="E680" s="147">
        <f t="shared" si="9"/>
        <v>1</v>
      </c>
      <c r="F680" s="155" cm="1">
        <f t="array" aca="1" ref="F680" ca="1">IFERROR(_xlfn.STOCKHISTORY("USD/BRL",E680,E680,0,0,1),Preços!$C$3)</f>
        <v>6.1798000000000002</v>
      </c>
    </row>
    <row r="681" spans="5:6" x14ac:dyDescent="0.25">
      <c r="E681" s="147">
        <f t="shared" si="9"/>
        <v>1</v>
      </c>
      <c r="F681" s="155" cm="1">
        <f t="array" aca="1" ref="F681" ca="1">IFERROR(_xlfn.STOCKHISTORY("USD/BRL",E681,E681,0,0,1),Preços!$C$3)</f>
        <v>6.1798000000000002</v>
      </c>
    </row>
    <row r="682" spans="5:6" x14ac:dyDescent="0.25">
      <c r="E682" s="147">
        <f t="shared" si="9"/>
        <v>1</v>
      </c>
      <c r="F682" s="155" cm="1">
        <f t="array" aca="1" ref="F682" ca="1">IFERROR(_xlfn.STOCKHISTORY("USD/BRL",E682,E682,0,0,1),Preços!$C$3)</f>
        <v>6.1798000000000002</v>
      </c>
    </row>
    <row r="683" spans="5:6" x14ac:dyDescent="0.25">
      <c r="E683" s="147">
        <f t="shared" si="9"/>
        <v>1</v>
      </c>
      <c r="F683" s="155" cm="1">
        <f t="array" aca="1" ref="F683" ca="1">IFERROR(_xlfn.STOCKHISTORY("USD/BRL",E683,E683,0,0,1),Preços!$C$3)</f>
        <v>6.1798000000000002</v>
      </c>
    </row>
    <row r="684" spans="5:6" x14ac:dyDescent="0.25">
      <c r="E684" s="147">
        <f t="shared" si="9"/>
        <v>1</v>
      </c>
      <c r="F684" s="155" cm="1">
        <f t="array" aca="1" ref="F684" ca="1">IFERROR(_xlfn.STOCKHISTORY("USD/BRL",E684,E684,0,0,1),Preços!$C$3)</f>
        <v>6.1798000000000002</v>
      </c>
    </row>
    <row r="685" spans="5:6" x14ac:dyDescent="0.25">
      <c r="E685" s="147">
        <f t="shared" si="9"/>
        <v>1</v>
      </c>
      <c r="F685" s="155" cm="1">
        <f t="array" aca="1" ref="F685" ca="1">IFERROR(_xlfn.STOCKHISTORY("USD/BRL",E685,E685,0,0,1),Preços!$C$3)</f>
        <v>6.1798000000000002</v>
      </c>
    </row>
    <row r="686" spans="5:6" x14ac:dyDescent="0.25">
      <c r="E686" s="147">
        <f t="shared" si="9"/>
        <v>1</v>
      </c>
      <c r="F686" s="155" cm="1">
        <f t="array" aca="1" ref="F686" ca="1">IFERROR(_xlfn.STOCKHISTORY("USD/BRL",E686,E686,0,0,1),Preços!$C$3)</f>
        <v>6.1798000000000002</v>
      </c>
    </row>
    <row r="687" spans="5:6" x14ac:dyDescent="0.25">
      <c r="E687" s="147">
        <f t="shared" si="9"/>
        <v>1</v>
      </c>
      <c r="F687" s="155" cm="1">
        <f t="array" aca="1" ref="F687" ca="1">IFERROR(_xlfn.STOCKHISTORY("USD/BRL",E687,E687,0,0,1),Preços!$C$3)</f>
        <v>6.1798000000000002</v>
      </c>
    </row>
    <row r="688" spans="5:6" x14ac:dyDescent="0.25">
      <c r="E688" s="147">
        <f t="shared" si="9"/>
        <v>1</v>
      </c>
      <c r="F688" s="155" cm="1">
        <f t="array" aca="1" ref="F688" ca="1">IFERROR(_xlfn.STOCKHISTORY("USD/BRL",E688,E688,0,0,1),Preços!$C$3)</f>
        <v>6.1798000000000002</v>
      </c>
    </row>
    <row r="689" spans="5:6" x14ac:dyDescent="0.25">
      <c r="E689" s="147">
        <f t="shared" si="9"/>
        <v>1</v>
      </c>
      <c r="F689" s="155" cm="1">
        <f t="array" aca="1" ref="F689" ca="1">IFERROR(_xlfn.STOCKHISTORY("USD/BRL",E689,E689,0,0,1),Preços!$C$3)</f>
        <v>6.1798000000000002</v>
      </c>
    </row>
    <row r="690" spans="5:6" x14ac:dyDescent="0.25">
      <c r="E690" s="147">
        <f t="shared" si="9"/>
        <v>1</v>
      </c>
      <c r="F690" s="155" cm="1">
        <f t="array" aca="1" ref="F690" ca="1">IFERROR(_xlfn.STOCKHISTORY("USD/BRL",E690,E690,0,0,1),Preços!$C$3)</f>
        <v>6.1798000000000002</v>
      </c>
    </row>
    <row r="691" spans="5:6" x14ac:dyDescent="0.25">
      <c r="E691" s="147">
        <f t="shared" si="9"/>
        <v>1</v>
      </c>
      <c r="F691" s="155" cm="1">
        <f t="array" aca="1" ref="F691" ca="1">IFERROR(_xlfn.STOCKHISTORY("USD/BRL",E691,E691,0,0,1),Preços!$C$3)</f>
        <v>6.1798000000000002</v>
      </c>
    </row>
    <row r="692" spans="5:6" x14ac:dyDescent="0.25">
      <c r="E692" s="147">
        <f t="shared" si="9"/>
        <v>1</v>
      </c>
      <c r="F692" s="155" cm="1">
        <f t="array" aca="1" ref="F692" ca="1">IFERROR(_xlfn.STOCKHISTORY("USD/BRL",E692,E692,0,0,1),Preços!$C$3)</f>
        <v>6.1798000000000002</v>
      </c>
    </row>
    <row r="693" spans="5:6" x14ac:dyDescent="0.25">
      <c r="E693" s="147">
        <f t="shared" si="9"/>
        <v>1</v>
      </c>
      <c r="F693" s="155" cm="1">
        <f t="array" aca="1" ref="F693" ca="1">IFERROR(_xlfn.STOCKHISTORY("USD/BRL",E693,E693,0,0,1),Preços!$C$3)</f>
        <v>6.1798000000000002</v>
      </c>
    </row>
    <row r="694" spans="5:6" x14ac:dyDescent="0.25">
      <c r="E694" s="147">
        <f t="shared" si="9"/>
        <v>1</v>
      </c>
      <c r="F694" s="155" cm="1">
        <f t="array" aca="1" ref="F694" ca="1">IFERROR(_xlfn.STOCKHISTORY("USD/BRL",E694,E694,0,0,1),Preços!$C$3)</f>
        <v>6.1798000000000002</v>
      </c>
    </row>
    <row r="695" spans="5:6" x14ac:dyDescent="0.25">
      <c r="E695" s="147">
        <f t="shared" si="9"/>
        <v>1</v>
      </c>
      <c r="F695" s="155" cm="1">
        <f t="array" aca="1" ref="F695" ca="1">IFERROR(_xlfn.STOCKHISTORY("USD/BRL",E695,E695,0,0,1),Preços!$C$3)</f>
        <v>6.1798000000000002</v>
      </c>
    </row>
    <row r="696" spans="5:6" x14ac:dyDescent="0.25">
      <c r="E696" s="147">
        <f t="shared" si="9"/>
        <v>1</v>
      </c>
      <c r="F696" s="155" cm="1">
        <f t="array" aca="1" ref="F696" ca="1">IFERROR(_xlfn.STOCKHISTORY("USD/BRL",E696,E696,0,0,1),Preços!$C$3)</f>
        <v>6.1798000000000002</v>
      </c>
    </row>
    <row r="697" spans="5:6" x14ac:dyDescent="0.25">
      <c r="E697" s="147">
        <f t="shared" si="9"/>
        <v>1</v>
      </c>
      <c r="F697" s="155" cm="1">
        <f t="array" aca="1" ref="F697" ca="1">IFERROR(_xlfn.STOCKHISTORY("USD/BRL",E697,E697,0,0,1),Preços!$C$3)</f>
        <v>6.1798000000000002</v>
      </c>
    </row>
    <row r="698" spans="5:6" x14ac:dyDescent="0.25">
      <c r="E698" s="147">
        <f t="shared" si="9"/>
        <v>1</v>
      </c>
      <c r="F698" s="155" cm="1">
        <f t="array" aca="1" ref="F698" ca="1">IFERROR(_xlfn.STOCKHISTORY("USD/BRL",E698,E698,0,0,1),Preços!$C$3)</f>
        <v>6.1798000000000002</v>
      </c>
    </row>
    <row r="699" spans="5:6" x14ac:dyDescent="0.25">
      <c r="E699" s="147">
        <f t="shared" si="9"/>
        <v>1</v>
      </c>
      <c r="F699" s="155" cm="1">
        <f t="array" aca="1" ref="F699" ca="1">IFERROR(_xlfn.STOCKHISTORY("USD/BRL",E699,E699,0,0,1),Preços!$C$3)</f>
        <v>6.1798000000000002</v>
      </c>
    </row>
    <row r="700" spans="5:6" x14ac:dyDescent="0.25">
      <c r="E700" s="147">
        <f t="shared" si="9"/>
        <v>1</v>
      </c>
      <c r="F700" s="155" cm="1">
        <f t="array" aca="1" ref="F700" ca="1">IFERROR(_xlfn.STOCKHISTORY("USD/BRL",E700,E700,0,0,1),Preços!$C$3)</f>
        <v>6.1798000000000002</v>
      </c>
    </row>
    <row r="701" spans="5:6" x14ac:dyDescent="0.25">
      <c r="E701" s="147">
        <f t="shared" si="9"/>
        <v>1</v>
      </c>
      <c r="F701" s="155" cm="1">
        <f t="array" aca="1" ref="F701" ca="1">IFERROR(_xlfn.STOCKHISTORY("USD/BRL",E701,E701,0,0,1),Preços!$C$3)</f>
        <v>6.1798000000000002</v>
      </c>
    </row>
    <row r="702" spans="5:6" x14ac:dyDescent="0.25">
      <c r="E702" s="147">
        <f t="shared" si="9"/>
        <v>1</v>
      </c>
      <c r="F702" s="155" cm="1">
        <f t="array" aca="1" ref="F702" ca="1">IFERROR(_xlfn.STOCKHISTORY("USD/BRL",E702,E702,0,0,1),Preços!$C$3)</f>
        <v>6.1798000000000002</v>
      </c>
    </row>
    <row r="703" spans="5:6" x14ac:dyDescent="0.25">
      <c r="E703" s="147">
        <f t="shared" si="9"/>
        <v>1</v>
      </c>
      <c r="F703" s="155" cm="1">
        <f t="array" aca="1" ref="F703" ca="1">IFERROR(_xlfn.STOCKHISTORY("USD/BRL",E703,E703,0,0,1),Preços!$C$3)</f>
        <v>6.1798000000000002</v>
      </c>
    </row>
    <row r="704" spans="5:6" x14ac:dyDescent="0.25">
      <c r="E704" s="147">
        <f t="shared" si="9"/>
        <v>1</v>
      </c>
      <c r="F704" s="155" cm="1">
        <f t="array" aca="1" ref="F704" ca="1">IFERROR(_xlfn.STOCKHISTORY("USD/BRL",E704,E704,0,0,1),Preços!$C$3)</f>
        <v>6.1798000000000002</v>
      </c>
    </row>
    <row r="705" spans="5:6" x14ac:dyDescent="0.25">
      <c r="E705" s="147">
        <f t="shared" si="9"/>
        <v>1</v>
      </c>
      <c r="F705" s="155" cm="1">
        <f t="array" aca="1" ref="F705" ca="1">IFERROR(_xlfn.STOCKHISTORY("USD/BRL",E705,E705,0,0,1),Preços!$C$3)</f>
        <v>6.1798000000000002</v>
      </c>
    </row>
    <row r="706" spans="5:6" x14ac:dyDescent="0.25">
      <c r="E706" s="147">
        <f t="shared" si="9"/>
        <v>1</v>
      </c>
      <c r="F706" s="155" cm="1">
        <f t="array" aca="1" ref="F706" ca="1">IFERROR(_xlfn.STOCKHISTORY("USD/BRL",E706,E706,0,0,1),Preços!$C$3)</f>
        <v>6.1798000000000002</v>
      </c>
    </row>
    <row r="707" spans="5:6" x14ac:dyDescent="0.25">
      <c r="E707" s="147">
        <f t="shared" si="9"/>
        <v>1</v>
      </c>
      <c r="F707" s="155" cm="1">
        <f t="array" aca="1" ref="F707" ca="1">IFERROR(_xlfn.STOCKHISTORY("USD/BRL",E707,E707,0,0,1),Preços!$C$3)</f>
        <v>6.1798000000000002</v>
      </c>
    </row>
    <row r="708" spans="5:6" x14ac:dyDescent="0.25">
      <c r="E708" s="147">
        <f t="shared" ref="E708:E771" si="10">DATE(YEAR(D614),MONTH(D614),1)</f>
        <v>1</v>
      </c>
      <c r="F708" s="155" cm="1">
        <f t="array" aca="1" ref="F708" ca="1">IFERROR(_xlfn.STOCKHISTORY("USD/BRL",E708,E708,0,0,1),Preços!$C$3)</f>
        <v>6.1798000000000002</v>
      </c>
    </row>
    <row r="709" spans="5:6" x14ac:dyDescent="0.25">
      <c r="E709" s="147">
        <f t="shared" si="10"/>
        <v>1</v>
      </c>
      <c r="F709" s="155" cm="1">
        <f t="array" aca="1" ref="F709" ca="1">IFERROR(_xlfn.STOCKHISTORY("USD/BRL",E709,E709,0,0,1),Preços!$C$3)</f>
        <v>6.1798000000000002</v>
      </c>
    </row>
    <row r="710" spans="5:6" x14ac:dyDescent="0.25">
      <c r="E710" s="147">
        <f t="shared" si="10"/>
        <v>1</v>
      </c>
      <c r="F710" s="155" cm="1">
        <f t="array" aca="1" ref="F710" ca="1">IFERROR(_xlfn.STOCKHISTORY("USD/BRL",E710,E710,0,0,1),Preços!$C$3)</f>
        <v>6.1798000000000002</v>
      </c>
    </row>
    <row r="711" spans="5:6" x14ac:dyDescent="0.25">
      <c r="E711" s="147">
        <f t="shared" si="10"/>
        <v>1</v>
      </c>
      <c r="F711" s="155" cm="1">
        <f t="array" aca="1" ref="F711" ca="1">IFERROR(_xlfn.STOCKHISTORY("USD/BRL",E711,E711,0,0,1),Preços!$C$3)</f>
        <v>6.1798000000000002</v>
      </c>
    </row>
    <row r="712" spans="5:6" x14ac:dyDescent="0.25">
      <c r="E712" s="147">
        <f t="shared" si="10"/>
        <v>1</v>
      </c>
      <c r="F712" s="155" cm="1">
        <f t="array" aca="1" ref="F712" ca="1">IFERROR(_xlfn.STOCKHISTORY("USD/BRL",E712,E712,0,0,1),Preços!$C$3)</f>
        <v>6.1798000000000002</v>
      </c>
    </row>
    <row r="713" spans="5:6" x14ac:dyDescent="0.25">
      <c r="E713" s="147">
        <f t="shared" si="10"/>
        <v>1</v>
      </c>
      <c r="F713" s="155" cm="1">
        <f t="array" aca="1" ref="F713" ca="1">IFERROR(_xlfn.STOCKHISTORY("USD/BRL",E713,E713,0,0,1),Preços!$C$3)</f>
        <v>6.1798000000000002</v>
      </c>
    </row>
    <row r="714" spans="5:6" x14ac:dyDescent="0.25">
      <c r="E714" s="147">
        <f t="shared" si="10"/>
        <v>1</v>
      </c>
      <c r="F714" s="155" cm="1">
        <f t="array" aca="1" ref="F714" ca="1">IFERROR(_xlfn.STOCKHISTORY("USD/BRL",E714,E714,0,0,1),Preços!$C$3)</f>
        <v>6.1798000000000002</v>
      </c>
    </row>
    <row r="715" spans="5:6" x14ac:dyDescent="0.25">
      <c r="E715" s="147">
        <f t="shared" si="10"/>
        <v>1</v>
      </c>
      <c r="F715" s="155" cm="1">
        <f t="array" aca="1" ref="F715" ca="1">IFERROR(_xlfn.STOCKHISTORY("USD/BRL",E715,E715,0,0,1),Preços!$C$3)</f>
        <v>6.1798000000000002</v>
      </c>
    </row>
    <row r="716" spans="5:6" x14ac:dyDescent="0.25">
      <c r="E716" s="147">
        <f t="shared" si="10"/>
        <v>1</v>
      </c>
      <c r="F716" s="155" cm="1">
        <f t="array" aca="1" ref="F716" ca="1">IFERROR(_xlfn.STOCKHISTORY("USD/BRL",E716,E716,0,0,1),Preços!$C$3)</f>
        <v>6.1798000000000002</v>
      </c>
    </row>
    <row r="717" spans="5:6" x14ac:dyDescent="0.25">
      <c r="E717" s="147">
        <f t="shared" si="10"/>
        <v>1</v>
      </c>
      <c r="F717" s="155" cm="1">
        <f t="array" aca="1" ref="F717" ca="1">IFERROR(_xlfn.STOCKHISTORY("USD/BRL",E717,E717,0,0,1),Preços!$C$3)</f>
        <v>6.1798000000000002</v>
      </c>
    </row>
    <row r="718" spans="5:6" x14ac:dyDescent="0.25">
      <c r="E718" s="147">
        <f t="shared" si="10"/>
        <v>1</v>
      </c>
      <c r="F718" s="155" cm="1">
        <f t="array" aca="1" ref="F718" ca="1">IFERROR(_xlfn.STOCKHISTORY("USD/BRL",E718,E718,0,0,1),Preços!$C$3)</f>
        <v>6.1798000000000002</v>
      </c>
    </row>
    <row r="719" spans="5:6" x14ac:dyDescent="0.25">
      <c r="E719" s="147">
        <f t="shared" si="10"/>
        <v>1</v>
      </c>
      <c r="F719" s="155" cm="1">
        <f t="array" aca="1" ref="F719" ca="1">IFERROR(_xlfn.STOCKHISTORY("USD/BRL",E719,E719,0,0,1),Preços!$C$3)</f>
        <v>6.1798000000000002</v>
      </c>
    </row>
    <row r="720" spans="5:6" x14ac:dyDescent="0.25">
      <c r="E720" s="147">
        <f t="shared" si="10"/>
        <v>1</v>
      </c>
      <c r="F720" s="155" cm="1">
        <f t="array" aca="1" ref="F720" ca="1">IFERROR(_xlfn.STOCKHISTORY("USD/BRL",E720,E720,0,0,1),Preços!$C$3)</f>
        <v>6.1798000000000002</v>
      </c>
    </row>
    <row r="721" spans="5:6" x14ac:dyDescent="0.25">
      <c r="E721" s="147">
        <f t="shared" si="10"/>
        <v>1</v>
      </c>
      <c r="F721" s="155" cm="1">
        <f t="array" aca="1" ref="F721" ca="1">IFERROR(_xlfn.STOCKHISTORY("USD/BRL",E721,E721,0,0,1),Preços!$C$3)</f>
        <v>6.1798000000000002</v>
      </c>
    </row>
    <row r="722" spans="5:6" x14ac:dyDescent="0.25">
      <c r="E722" s="147">
        <f t="shared" si="10"/>
        <v>1</v>
      </c>
      <c r="F722" s="155" cm="1">
        <f t="array" aca="1" ref="F722" ca="1">IFERROR(_xlfn.STOCKHISTORY("USD/BRL",E722,E722,0,0,1),Preços!$C$3)</f>
        <v>6.1798000000000002</v>
      </c>
    </row>
    <row r="723" spans="5:6" x14ac:dyDescent="0.25">
      <c r="E723" s="147">
        <f t="shared" si="10"/>
        <v>1</v>
      </c>
      <c r="F723" s="155" cm="1">
        <f t="array" aca="1" ref="F723" ca="1">IFERROR(_xlfn.STOCKHISTORY("USD/BRL",E723,E723,0,0,1),Preços!$C$3)</f>
        <v>6.1798000000000002</v>
      </c>
    </row>
    <row r="724" spans="5:6" x14ac:dyDescent="0.25">
      <c r="E724" s="147">
        <f t="shared" si="10"/>
        <v>1</v>
      </c>
      <c r="F724" s="155" cm="1">
        <f t="array" aca="1" ref="F724" ca="1">IFERROR(_xlfn.STOCKHISTORY("USD/BRL",E724,E724,0,0,1),Preços!$C$3)</f>
        <v>6.1798000000000002</v>
      </c>
    </row>
    <row r="725" spans="5:6" x14ac:dyDescent="0.25">
      <c r="E725" s="147">
        <f t="shared" si="10"/>
        <v>1</v>
      </c>
      <c r="F725" s="155" cm="1">
        <f t="array" aca="1" ref="F725" ca="1">IFERROR(_xlfn.STOCKHISTORY("USD/BRL",E725,E725,0,0,1),Preços!$C$3)</f>
        <v>6.1798000000000002</v>
      </c>
    </row>
    <row r="726" spans="5:6" x14ac:dyDescent="0.25">
      <c r="E726" s="147">
        <f t="shared" si="10"/>
        <v>1</v>
      </c>
      <c r="F726" s="155" cm="1">
        <f t="array" aca="1" ref="F726" ca="1">IFERROR(_xlfn.STOCKHISTORY("USD/BRL",E726,E726,0,0,1),Preços!$C$3)</f>
        <v>6.1798000000000002</v>
      </c>
    </row>
    <row r="727" spans="5:6" x14ac:dyDescent="0.25">
      <c r="E727" s="147">
        <f t="shared" si="10"/>
        <v>1</v>
      </c>
      <c r="F727" s="155" cm="1">
        <f t="array" aca="1" ref="F727" ca="1">IFERROR(_xlfn.STOCKHISTORY("USD/BRL",E727,E727,0,0,1),Preços!$C$3)</f>
        <v>6.1798000000000002</v>
      </c>
    </row>
    <row r="728" spans="5:6" x14ac:dyDescent="0.25">
      <c r="E728" s="147">
        <f t="shared" si="10"/>
        <v>1</v>
      </c>
      <c r="F728" s="155" cm="1">
        <f t="array" aca="1" ref="F728" ca="1">IFERROR(_xlfn.STOCKHISTORY("USD/BRL",E728,E728,0,0,1),Preços!$C$3)</f>
        <v>6.1798000000000002</v>
      </c>
    </row>
    <row r="729" spans="5:6" x14ac:dyDescent="0.25">
      <c r="E729" s="147">
        <f t="shared" si="10"/>
        <v>1</v>
      </c>
      <c r="F729" s="155" cm="1">
        <f t="array" aca="1" ref="F729" ca="1">IFERROR(_xlfn.STOCKHISTORY("USD/BRL",E729,E729,0,0,1),Preços!$C$3)</f>
        <v>6.1798000000000002</v>
      </c>
    </row>
    <row r="730" spans="5:6" x14ac:dyDescent="0.25">
      <c r="E730" s="147">
        <f t="shared" si="10"/>
        <v>1</v>
      </c>
      <c r="F730" s="155" cm="1">
        <f t="array" aca="1" ref="F730" ca="1">IFERROR(_xlfn.STOCKHISTORY("USD/BRL",E730,E730,0,0,1),Preços!$C$3)</f>
        <v>6.1798000000000002</v>
      </c>
    </row>
    <row r="731" spans="5:6" x14ac:dyDescent="0.25">
      <c r="E731" s="147">
        <f t="shared" si="10"/>
        <v>1</v>
      </c>
      <c r="F731" s="155" cm="1">
        <f t="array" aca="1" ref="F731" ca="1">IFERROR(_xlfn.STOCKHISTORY("USD/BRL",E731,E731,0,0,1),Preços!$C$3)</f>
        <v>6.1798000000000002</v>
      </c>
    </row>
    <row r="732" spans="5:6" x14ac:dyDescent="0.25">
      <c r="E732" s="147">
        <f t="shared" si="10"/>
        <v>1</v>
      </c>
      <c r="F732" s="155" cm="1">
        <f t="array" aca="1" ref="F732" ca="1">IFERROR(_xlfn.STOCKHISTORY("USD/BRL",E732,E732,0,0,1),Preços!$C$3)</f>
        <v>6.1798000000000002</v>
      </c>
    </row>
    <row r="733" spans="5:6" x14ac:dyDescent="0.25">
      <c r="E733" s="147">
        <f t="shared" si="10"/>
        <v>1</v>
      </c>
      <c r="F733" s="155" cm="1">
        <f t="array" aca="1" ref="F733" ca="1">IFERROR(_xlfn.STOCKHISTORY("USD/BRL",E733,E733,0,0,1),Preços!$C$3)</f>
        <v>6.1798000000000002</v>
      </c>
    </row>
    <row r="734" spans="5:6" x14ac:dyDescent="0.25">
      <c r="E734" s="147">
        <f t="shared" si="10"/>
        <v>1</v>
      </c>
      <c r="F734" s="155" cm="1">
        <f t="array" aca="1" ref="F734" ca="1">IFERROR(_xlfn.STOCKHISTORY("USD/BRL",E734,E734,0,0,1),Preços!$C$3)</f>
        <v>6.1798000000000002</v>
      </c>
    </row>
    <row r="735" spans="5:6" x14ac:dyDescent="0.25">
      <c r="E735" s="147">
        <f t="shared" si="10"/>
        <v>1</v>
      </c>
      <c r="F735" s="155" cm="1">
        <f t="array" aca="1" ref="F735" ca="1">IFERROR(_xlfn.STOCKHISTORY("USD/BRL",E735,E735,0,0,1),Preços!$C$3)</f>
        <v>6.1798000000000002</v>
      </c>
    </row>
    <row r="736" spans="5:6" x14ac:dyDescent="0.25">
      <c r="E736" s="147">
        <f t="shared" si="10"/>
        <v>1</v>
      </c>
      <c r="F736" s="155" cm="1">
        <f t="array" aca="1" ref="F736" ca="1">IFERROR(_xlfn.STOCKHISTORY("USD/BRL",E736,E736,0,0,1),Preços!$C$3)</f>
        <v>6.1798000000000002</v>
      </c>
    </row>
    <row r="737" spans="5:6" x14ac:dyDescent="0.25">
      <c r="E737" s="147">
        <f t="shared" si="10"/>
        <v>1</v>
      </c>
      <c r="F737" s="155" cm="1">
        <f t="array" aca="1" ref="F737" ca="1">IFERROR(_xlfn.STOCKHISTORY("USD/BRL",E737,E737,0,0,1),Preços!$C$3)</f>
        <v>6.1798000000000002</v>
      </c>
    </row>
    <row r="738" spans="5:6" x14ac:dyDescent="0.25">
      <c r="E738" s="147">
        <f t="shared" si="10"/>
        <v>1</v>
      </c>
      <c r="F738" s="155" cm="1">
        <f t="array" aca="1" ref="F738" ca="1">IFERROR(_xlfn.STOCKHISTORY("USD/BRL",E738,E738,0,0,1),Preços!$C$3)</f>
        <v>6.1798000000000002</v>
      </c>
    </row>
    <row r="739" spans="5:6" x14ac:dyDescent="0.25">
      <c r="E739" s="147">
        <f t="shared" si="10"/>
        <v>1</v>
      </c>
      <c r="F739" s="155" cm="1">
        <f t="array" aca="1" ref="F739" ca="1">IFERROR(_xlfn.STOCKHISTORY("USD/BRL",E739,E739,0,0,1),Preços!$C$3)</f>
        <v>6.1798000000000002</v>
      </c>
    </row>
    <row r="740" spans="5:6" x14ac:dyDescent="0.25">
      <c r="E740" s="147">
        <f t="shared" si="10"/>
        <v>1</v>
      </c>
      <c r="F740" s="155" cm="1">
        <f t="array" aca="1" ref="F740" ca="1">IFERROR(_xlfn.STOCKHISTORY("USD/BRL",E740,E740,0,0,1),Preços!$C$3)</f>
        <v>6.1798000000000002</v>
      </c>
    </row>
    <row r="741" spans="5:6" x14ac:dyDescent="0.25">
      <c r="E741" s="147">
        <f t="shared" si="10"/>
        <v>1</v>
      </c>
      <c r="F741" s="155" cm="1">
        <f t="array" aca="1" ref="F741" ca="1">IFERROR(_xlfn.STOCKHISTORY("USD/BRL",E741,E741,0,0,1),Preços!$C$3)</f>
        <v>6.1798000000000002</v>
      </c>
    </row>
    <row r="742" spans="5:6" x14ac:dyDescent="0.25">
      <c r="E742" s="147">
        <f t="shared" si="10"/>
        <v>1</v>
      </c>
      <c r="F742" s="155" cm="1">
        <f t="array" aca="1" ref="F742" ca="1">IFERROR(_xlfn.STOCKHISTORY("USD/BRL",E742,E742,0,0,1),Preços!$C$3)</f>
        <v>6.1798000000000002</v>
      </c>
    </row>
    <row r="743" spans="5:6" x14ac:dyDescent="0.25">
      <c r="E743" s="147">
        <f t="shared" si="10"/>
        <v>1</v>
      </c>
      <c r="F743" s="155" cm="1">
        <f t="array" aca="1" ref="F743" ca="1">IFERROR(_xlfn.STOCKHISTORY("USD/BRL",E743,E743,0,0,1),Preços!$C$3)</f>
        <v>6.1798000000000002</v>
      </c>
    </row>
    <row r="744" spans="5:6" x14ac:dyDescent="0.25">
      <c r="E744" s="147">
        <f t="shared" si="10"/>
        <v>1</v>
      </c>
      <c r="F744" s="155" cm="1">
        <f t="array" aca="1" ref="F744" ca="1">IFERROR(_xlfn.STOCKHISTORY("USD/BRL",E744,E744,0,0,1),Preços!$C$3)</f>
        <v>6.1798000000000002</v>
      </c>
    </row>
    <row r="745" spans="5:6" x14ac:dyDescent="0.25">
      <c r="E745" s="147">
        <f t="shared" si="10"/>
        <v>1</v>
      </c>
      <c r="F745" s="155" cm="1">
        <f t="array" aca="1" ref="F745" ca="1">IFERROR(_xlfn.STOCKHISTORY("USD/BRL",E745,E745,0,0,1),Preços!$C$3)</f>
        <v>6.1798000000000002</v>
      </c>
    </row>
    <row r="746" spans="5:6" x14ac:dyDescent="0.25">
      <c r="E746" s="147">
        <f t="shared" si="10"/>
        <v>1</v>
      </c>
      <c r="F746" s="155" cm="1">
        <f t="array" aca="1" ref="F746" ca="1">IFERROR(_xlfn.STOCKHISTORY("USD/BRL",E746,E746,0,0,1),Preços!$C$3)</f>
        <v>6.1798000000000002</v>
      </c>
    </row>
    <row r="747" spans="5:6" x14ac:dyDescent="0.25">
      <c r="E747" s="147">
        <f t="shared" si="10"/>
        <v>1</v>
      </c>
      <c r="F747" s="155" cm="1">
        <f t="array" aca="1" ref="F747" ca="1">IFERROR(_xlfn.STOCKHISTORY("USD/BRL",E747,E747,0,0,1),Preços!$C$3)</f>
        <v>6.1798000000000002</v>
      </c>
    </row>
    <row r="748" spans="5:6" x14ac:dyDescent="0.25">
      <c r="E748" s="147">
        <f t="shared" si="10"/>
        <v>1</v>
      </c>
      <c r="F748" s="155" cm="1">
        <f t="array" aca="1" ref="F748" ca="1">IFERROR(_xlfn.STOCKHISTORY("USD/BRL",E748,E748,0,0,1),Preços!$C$3)</f>
        <v>6.1798000000000002</v>
      </c>
    </row>
    <row r="749" spans="5:6" x14ac:dyDescent="0.25">
      <c r="E749" s="147">
        <f t="shared" si="10"/>
        <v>1</v>
      </c>
      <c r="F749" s="155" cm="1">
        <f t="array" aca="1" ref="F749" ca="1">IFERROR(_xlfn.STOCKHISTORY("USD/BRL",E749,E749,0,0,1),Preços!$C$3)</f>
        <v>6.1798000000000002</v>
      </c>
    </row>
    <row r="750" spans="5:6" x14ac:dyDescent="0.25">
      <c r="E750" s="147">
        <f t="shared" si="10"/>
        <v>1</v>
      </c>
      <c r="F750" s="155" cm="1">
        <f t="array" aca="1" ref="F750" ca="1">IFERROR(_xlfn.STOCKHISTORY("USD/BRL",E750,E750,0,0,1),Preços!$C$3)</f>
        <v>6.1798000000000002</v>
      </c>
    </row>
    <row r="751" spans="5:6" x14ac:dyDescent="0.25">
      <c r="E751" s="147">
        <f t="shared" si="10"/>
        <v>1</v>
      </c>
      <c r="F751" s="155" cm="1">
        <f t="array" aca="1" ref="F751" ca="1">IFERROR(_xlfn.STOCKHISTORY("USD/BRL",E751,E751,0,0,1),Preços!$C$3)</f>
        <v>6.1798000000000002</v>
      </c>
    </row>
    <row r="752" spans="5:6" x14ac:dyDescent="0.25">
      <c r="E752" s="147">
        <f t="shared" si="10"/>
        <v>1</v>
      </c>
      <c r="F752" s="155" cm="1">
        <f t="array" aca="1" ref="F752" ca="1">IFERROR(_xlfn.STOCKHISTORY("USD/BRL",E752,E752,0,0,1),Preços!$C$3)</f>
        <v>6.1798000000000002</v>
      </c>
    </row>
    <row r="753" spans="5:6" x14ac:dyDescent="0.25">
      <c r="E753" s="147">
        <f t="shared" si="10"/>
        <v>1</v>
      </c>
      <c r="F753" s="155" cm="1">
        <f t="array" aca="1" ref="F753" ca="1">IFERROR(_xlfn.STOCKHISTORY("USD/BRL",E753,E753,0,0,1),Preços!$C$3)</f>
        <v>6.1798000000000002</v>
      </c>
    </row>
    <row r="754" spans="5:6" x14ac:dyDescent="0.25">
      <c r="E754" s="147">
        <f t="shared" si="10"/>
        <v>1</v>
      </c>
      <c r="F754" s="155" cm="1">
        <f t="array" aca="1" ref="F754" ca="1">IFERROR(_xlfn.STOCKHISTORY("USD/BRL",E754,E754,0,0,1),Preços!$C$3)</f>
        <v>6.1798000000000002</v>
      </c>
    </row>
    <row r="755" spans="5:6" x14ac:dyDescent="0.25">
      <c r="E755" s="147">
        <f t="shared" si="10"/>
        <v>1</v>
      </c>
      <c r="F755" s="155" cm="1">
        <f t="array" aca="1" ref="F755" ca="1">IFERROR(_xlfn.STOCKHISTORY("USD/BRL",E755,E755,0,0,1),Preços!$C$3)</f>
        <v>6.1798000000000002</v>
      </c>
    </row>
    <row r="756" spans="5:6" x14ac:dyDescent="0.25">
      <c r="E756" s="147">
        <f t="shared" si="10"/>
        <v>1</v>
      </c>
      <c r="F756" s="155" cm="1">
        <f t="array" aca="1" ref="F756" ca="1">IFERROR(_xlfn.STOCKHISTORY("USD/BRL",E756,E756,0,0,1),Preços!$C$3)</f>
        <v>6.1798000000000002</v>
      </c>
    </row>
    <row r="757" spans="5:6" x14ac:dyDescent="0.25">
      <c r="E757" s="147">
        <f t="shared" si="10"/>
        <v>1</v>
      </c>
      <c r="F757" s="155" cm="1">
        <f t="array" aca="1" ref="F757" ca="1">IFERROR(_xlfn.STOCKHISTORY("USD/BRL",E757,E757,0,0,1),Preços!$C$3)</f>
        <v>6.1798000000000002</v>
      </c>
    </row>
    <row r="758" spans="5:6" x14ac:dyDescent="0.25">
      <c r="E758" s="147">
        <f t="shared" si="10"/>
        <v>1</v>
      </c>
      <c r="F758" s="155" cm="1">
        <f t="array" aca="1" ref="F758" ca="1">IFERROR(_xlfn.STOCKHISTORY("USD/BRL",E758,E758,0,0,1),Preços!$C$3)</f>
        <v>6.1798000000000002</v>
      </c>
    </row>
    <row r="759" spans="5:6" x14ac:dyDescent="0.25">
      <c r="E759" s="147">
        <f t="shared" si="10"/>
        <v>1</v>
      </c>
      <c r="F759" s="155" cm="1">
        <f t="array" aca="1" ref="F759" ca="1">IFERROR(_xlfn.STOCKHISTORY("USD/BRL",E759,E759,0,0,1),Preços!$C$3)</f>
        <v>6.1798000000000002</v>
      </c>
    </row>
    <row r="760" spans="5:6" x14ac:dyDescent="0.25">
      <c r="E760" s="147">
        <f t="shared" si="10"/>
        <v>1</v>
      </c>
      <c r="F760" s="155" cm="1">
        <f t="array" aca="1" ref="F760" ca="1">IFERROR(_xlfn.STOCKHISTORY("USD/BRL",E760,E760,0,0,1),Preços!$C$3)</f>
        <v>6.1798000000000002</v>
      </c>
    </row>
    <row r="761" spans="5:6" x14ac:dyDescent="0.25">
      <c r="E761" s="147">
        <f t="shared" si="10"/>
        <v>1</v>
      </c>
      <c r="F761" s="155" cm="1">
        <f t="array" aca="1" ref="F761" ca="1">IFERROR(_xlfn.STOCKHISTORY("USD/BRL",E761,E761,0,0,1),Preços!$C$3)</f>
        <v>6.1798000000000002</v>
      </c>
    </row>
    <row r="762" spans="5:6" x14ac:dyDescent="0.25">
      <c r="E762" s="147">
        <f t="shared" si="10"/>
        <v>1</v>
      </c>
      <c r="F762" s="155" cm="1">
        <f t="array" aca="1" ref="F762" ca="1">IFERROR(_xlfn.STOCKHISTORY("USD/BRL",E762,E762,0,0,1),Preços!$C$3)</f>
        <v>6.1798000000000002</v>
      </c>
    </row>
    <row r="763" spans="5:6" x14ac:dyDescent="0.25">
      <c r="E763" s="147">
        <f t="shared" si="10"/>
        <v>1</v>
      </c>
      <c r="F763" s="155" cm="1">
        <f t="array" aca="1" ref="F763" ca="1">IFERROR(_xlfn.STOCKHISTORY("USD/BRL",E763,E763,0,0,1),Preços!$C$3)</f>
        <v>6.1798000000000002</v>
      </c>
    </row>
    <row r="764" spans="5:6" x14ac:dyDescent="0.25">
      <c r="E764" s="147">
        <f t="shared" si="10"/>
        <v>1</v>
      </c>
      <c r="F764" s="155" cm="1">
        <f t="array" aca="1" ref="F764" ca="1">IFERROR(_xlfn.STOCKHISTORY("USD/BRL",E764,E764,0,0,1),Preços!$C$3)</f>
        <v>6.1798000000000002</v>
      </c>
    </row>
    <row r="765" spans="5:6" x14ac:dyDescent="0.25">
      <c r="E765" s="147">
        <f t="shared" si="10"/>
        <v>1</v>
      </c>
      <c r="F765" s="155" cm="1">
        <f t="array" aca="1" ref="F765" ca="1">IFERROR(_xlfn.STOCKHISTORY("USD/BRL",E765,E765,0,0,1),Preços!$C$3)</f>
        <v>6.1798000000000002</v>
      </c>
    </row>
    <row r="766" spans="5:6" x14ac:dyDescent="0.25">
      <c r="E766" s="147">
        <f t="shared" si="10"/>
        <v>1</v>
      </c>
      <c r="F766" s="155" cm="1">
        <f t="array" aca="1" ref="F766" ca="1">IFERROR(_xlfn.STOCKHISTORY("USD/BRL",E766,E766,0,0,1),Preços!$C$3)</f>
        <v>6.1798000000000002</v>
      </c>
    </row>
    <row r="767" spans="5:6" x14ac:dyDescent="0.25">
      <c r="E767" s="147">
        <f t="shared" si="10"/>
        <v>1</v>
      </c>
      <c r="F767" s="155" cm="1">
        <f t="array" aca="1" ref="F767" ca="1">IFERROR(_xlfn.STOCKHISTORY("USD/BRL",E767,E767,0,0,1),Preços!$C$3)</f>
        <v>6.1798000000000002</v>
      </c>
    </row>
    <row r="768" spans="5:6" x14ac:dyDescent="0.25">
      <c r="E768" s="147">
        <f t="shared" si="10"/>
        <v>1</v>
      </c>
      <c r="F768" s="155" cm="1">
        <f t="array" aca="1" ref="F768" ca="1">IFERROR(_xlfn.STOCKHISTORY("USD/BRL",E768,E768,0,0,1),Preços!$C$3)</f>
        <v>6.1798000000000002</v>
      </c>
    </row>
    <row r="769" spans="5:6" x14ac:dyDescent="0.25">
      <c r="E769" s="147">
        <f t="shared" si="10"/>
        <v>1</v>
      </c>
      <c r="F769" s="155" cm="1">
        <f t="array" aca="1" ref="F769" ca="1">IFERROR(_xlfn.STOCKHISTORY("USD/BRL",E769,E769,0,0,1),Preços!$C$3)</f>
        <v>6.1798000000000002</v>
      </c>
    </row>
    <row r="770" spans="5:6" x14ac:dyDescent="0.25">
      <c r="E770" s="147">
        <f t="shared" si="10"/>
        <v>1</v>
      </c>
      <c r="F770" s="155" cm="1">
        <f t="array" aca="1" ref="F770" ca="1">IFERROR(_xlfn.STOCKHISTORY("USD/BRL",E770,E770,0,0,1),Preços!$C$3)</f>
        <v>6.1798000000000002</v>
      </c>
    </row>
    <row r="771" spans="5:6" x14ac:dyDescent="0.25">
      <c r="E771" s="147">
        <f t="shared" si="10"/>
        <v>1</v>
      </c>
      <c r="F771" s="155" cm="1">
        <f t="array" aca="1" ref="F771" ca="1">IFERROR(_xlfn.STOCKHISTORY("USD/BRL",E771,E771,0,0,1),Preços!$C$3)</f>
        <v>6.1798000000000002</v>
      </c>
    </row>
    <row r="772" spans="5:6" x14ac:dyDescent="0.25">
      <c r="E772" s="147">
        <f t="shared" ref="E772:E835" si="11">DATE(YEAR(D678),MONTH(D678),1)</f>
        <v>1</v>
      </c>
      <c r="F772" s="155" cm="1">
        <f t="array" aca="1" ref="F772" ca="1">IFERROR(_xlfn.STOCKHISTORY("USD/BRL",E772,E772,0,0,1),Preços!$C$3)</f>
        <v>6.1798000000000002</v>
      </c>
    </row>
    <row r="773" spans="5:6" x14ac:dyDescent="0.25">
      <c r="E773" s="147">
        <f t="shared" si="11"/>
        <v>1</v>
      </c>
      <c r="F773" s="155" cm="1">
        <f t="array" aca="1" ref="F773" ca="1">IFERROR(_xlfn.STOCKHISTORY("USD/BRL",E773,E773,0,0,1),Preços!$C$3)</f>
        <v>6.1798000000000002</v>
      </c>
    </row>
    <row r="774" spans="5:6" x14ac:dyDescent="0.25">
      <c r="E774" s="147">
        <f t="shared" si="11"/>
        <v>1</v>
      </c>
      <c r="F774" s="155" cm="1">
        <f t="array" aca="1" ref="F774" ca="1">IFERROR(_xlfn.STOCKHISTORY("USD/BRL",E774,E774,0,0,1),Preços!$C$3)</f>
        <v>6.1798000000000002</v>
      </c>
    </row>
    <row r="775" spans="5:6" x14ac:dyDescent="0.25">
      <c r="E775" s="147">
        <f t="shared" si="11"/>
        <v>1</v>
      </c>
      <c r="F775" s="155" cm="1">
        <f t="array" aca="1" ref="F775" ca="1">IFERROR(_xlfn.STOCKHISTORY("USD/BRL",E775,E775,0,0,1),Preços!$C$3)</f>
        <v>6.1798000000000002</v>
      </c>
    </row>
    <row r="776" spans="5:6" x14ac:dyDescent="0.25">
      <c r="E776" s="147">
        <f t="shared" si="11"/>
        <v>1</v>
      </c>
      <c r="F776" s="155" cm="1">
        <f t="array" aca="1" ref="F776" ca="1">IFERROR(_xlfn.STOCKHISTORY("USD/BRL",E776,E776,0,0,1),Preços!$C$3)</f>
        <v>6.1798000000000002</v>
      </c>
    </row>
    <row r="777" spans="5:6" x14ac:dyDescent="0.25">
      <c r="E777" s="147">
        <f t="shared" si="11"/>
        <v>1</v>
      </c>
      <c r="F777" s="155" cm="1">
        <f t="array" aca="1" ref="F777" ca="1">IFERROR(_xlfn.STOCKHISTORY("USD/BRL",E777,E777,0,0,1),Preços!$C$3)</f>
        <v>6.1798000000000002</v>
      </c>
    </row>
    <row r="778" spans="5:6" x14ac:dyDescent="0.25">
      <c r="E778" s="147">
        <f t="shared" si="11"/>
        <v>1</v>
      </c>
      <c r="F778" s="155" cm="1">
        <f t="array" aca="1" ref="F778" ca="1">IFERROR(_xlfn.STOCKHISTORY("USD/BRL",E778,E778,0,0,1),Preços!$C$3)</f>
        <v>6.1798000000000002</v>
      </c>
    </row>
    <row r="779" spans="5:6" x14ac:dyDescent="0.25">
      <c r="E779" s="147">
        <f t="shared" si="11"/>
        <v>1</v>
      </c>
      <c r="F779" s="155" cm="1">
        <f t="array" aca="1" ref="F779" ca="1">IFERROR(_xlfn.STOCKHISTORY("USD/BRL",E779,E779,0,0,1),Preços!$C$3)</f>
        <v>6.1798000000000002</v>
      </c>
    </row>
    <row r="780" spans="5:6" x14ac:dyDescent="0.25">
      <c r="E780" s="147">
        <f t="shared" si="11"/>
        <v>1</v>
      </c>
      <c r="F780" s="155" cm="1">
        <f t="array" aca="1" ref="F780" ca="1">IFERROR(_xlfn.STOCKHISTORY("USD/BRL",E780,E780,0,0,1),Preços!$C$3)</f>
        <v>6.1798000000000002</v>
      </c>
    </row>
    <row r="781" spans="5:6" x14ac:dyDescent="0.25">
      <c r="E781" s="147">
        <f t="shared" si="11"/>
        <v>1</v>
      </c>
      <c r="F781" s="155" cm="1">
        <f t="array" aca="1" ref="F781" ca="1">IFERROR(_xlfn.STOCKHISTORY("USD/BRL",E781,E781,0,0,1),Preços!$C$3)</f>
        <v>6.1798000000000002</v>
      </c>
    </row>
    <row r="782" spans="5:6" x14ac:dyDescent="0.25">
      <c r="E782" s="147">
        <f t="shared" si="11"/>
        <v>1</v>
      </c>
      <c r="F782" s="155" cm="1">
        <f t="array" aca="1" ref="F782" ca="1">IFERROR(_xlfn.STOCKHISTORY("USD/BRL",E782,E782,0,0,1),Preços!$C$3)</f>
        <v>6.1798000000000002</v>
      </c>
    </row>
    <row r="783" spans="5:6" x14ac:dyDescent="0.25">
      <c r="E783" s="147">
        <f t="shared" si="11"/>
        <v>1</v>
      </c>
      <c r="F783" s="155" cm="1">
        <f t="array" aca="1" ref="F783" ca="1">IFERROR(_xlfn.STOCKHISTORY("USD/BRL",E783,E783,0,0,1),Preços!$C$3)</f>
        <v>6.1798000000000002</v>
      </c>
    </row>
    <row r="784" spans="5:6" x14ac:dyDescent="0.25">
      <c r="E784" s="147">
        <f t="shared" si="11"/>
        <v>1</v>
      </c>
      <c r="F784" s="155" cm="1">
        <f t="array" aca="1" ref="F784" ca="1">IFERROR(_xlfn.STOCKHISTORY("USD/BRL",E784,E784,0,0,1),Preços!$C$3)</f>
        <v>6.1798000000000002</v>
      </c>
    </row>
    <row r="785" spans="5:6" x14ac:dyDescent="0.25">
      <c r="E785" s="147">
        <f t="shared" si="11"/>
        <v>1</v>
      </c>
      <c r="F785" s="155" cm="1">
        <f t="array" aca="1" ref="F785" ca="1">IFERROR(_xlfn.STOCKHISTORY("USD/BRL",E785,E785,0,0,1),Preços!$C$3)</f>
        <v>6.1798000000000002</v>
      </c>
    </row>
    <row r="786" spans="5:6" x14ac:dyDescent="0.25">
      <c r="E786" s="147">
        <f t="shared" si="11"/>
        <v>1</v>
      </c>
      <c r="F786" s="155" cm="1">
        <f t="array" aca="1" ref="F786" ca="1">IFERROR(_xlfn.STOCKHISTORY("USD/BRL",E786,E786,0,0,1),Preços!$C$3)</f>
        <v>6.1798000000000002</v>
      </c>
    </row>
    <row r="787" spans="5:6" x14ac:dyDescent="0.25">
      <c r="E787" s="147">
        <f t="shared" si="11"/>
        <v>1</v>
      </c>
      <c r="F787" s="155" cm="1">
        <f t="array" aca="1" ref="F787" ca="1">IFERROR(_xlfn.STOCKHISTORY("USD/BRL",E787,E787,0,0,1),Preços!$C$3)</f>
        <v>6.1798000000000002</v>
      </c>
    </row>
    <row r="788" spans="5:6" x14ac:dyDescent="0.25">
      <c r="E788" s="147">
        <f t="shared" si="11"/>
        <v>1</v>
      </c>
      <c r="F788" s="155" cm="1">
        <f t="array" aca="1" ref="F788" ca="1">IFERROR(_xlfn.STOCKHISTORY("USD/BRL",E788,E788,0,0,1),Preços!$C$3)</f>
        <v>6.1798000000000002</v>
      </c>
    </row>
    <row r="789" spans="5:6" x14ac:dyDescent="0.25">
      <c r="E789" s="147">
        <f t="shared" si="11"/>
        <v>1</v>
      </c>
      <c r="F789" s="155" cm="1">
        <f t="array" aca="1" ref="F789" ca="1">IFERROR(_xlfn.STOCKHISTORY("USD/BRL",E789,E789,0,0,1),Preços!$C$3)</f>
        <v>6.1798000000000002</v>
      </c>
    </row>
    <row r="790" spans="5:6" x14ac:dyDescent="0.25">
      <c r="E790" s="147">
        <f t="shared" si="11"/>
        <v>1</v>
      </c>
      <c r="F790" s="155" cm="1">
        <f t="array" aca="1" ref="F790" ca="1">IFERROR(_xlfn.STOCKHISTORY("USD/BRL",E790,E790,0,0,1),Preços!$C$3)</f>
        <v>6.1798000000000002</v>
      </c>
    </row>
    <row r="791" spans="5:6" x14ac:dyDescent="0.25">
      <c r="E791" s="147">
        <f t="shared" si="11"/>
        <v>1</v>
      </c>
      <c r="F791" s="155" cm="1">
        <f t="array" aca="1" ref="F791" ca="1">IFERROR(_xlfn.STOCKHISTORY("USD/BRL",E791,E791,0,0,1),Preços!$C$3)</f>
        <v>6.1798000000000002</v>
      </c>
    </row>
    <row r="792" spans="5:6" x14ac:dyDescent="0.25">
      <c r="E792" s="147">
        <f t="shared" si="11"/>
        <v>1</v>
      </c>
      <c r="F792" s="155" cm="1">
        <f t="array" aca="1" ref="F792" ca="1">IFERROR(_xlfn.STOCKHISTORY("USD/BRL",E792,E792,0,0,1),Preços!$C$3)</f>
        <v>6.1798000000000002</v>
      </c>
    </row>
    <row r="793" spans="5:6" x14ac:dyDescent="0.25">
      <c r="E793" s="147">
        <f t="shared" si="11"/>
        <v>1</v>
      </c>
      <c r="F793" s="155" cm="1">
        <f t="array" aca="1" ref="F793" ca="1">IFERROR(_xlfn.STOCKHISTORY("USD/BRL",E793,E793,0,0,1),Preços!$C$3)</f>
        <v>6.1798000000000002</v>
      </c>
    </row>
    <row r="794" spans="5:6" x14ac:dyDescent="0.25">
      <c r="E794" s="147">
        <f t="shared" si="11"/>
        <v>1</v>
      </c>
      <c r="F794" s="155" cm="1">
        <f t="array" aca="1" ref="F794" ca="1">IFERROR(_xlfn.STOCKHISTORY("USD/BRL",E794,E794,0,0,1),Preços!$C$3)</f>
        <v>6.1798000000000002</v>
      </c>
    </row>
    <row r="795" spans="5:6" x14ac:dyDescent="0.25">
      <c r="E795" s="147">
        <f t="shared" si="11"/>
        <v>1</v>
      </c>
      <c r="F795" s="155" cm="1">
        <f t="array" aca="1" ref="F795" ca="1">IFERROR(_xlfn.STOCKHISTORY("USD/BRL",E795,E795,0,0,1),Preços!$C$3)</f>
        <v>6.1798000000000002</v>
      </c>
    </row>
    <row r="796" spans="5:6" x14ac:dyDescent="0.25">
      <c r="E796" s="147">
        <f t="shared" si="11"/>
        <v>1</v>
      </c>
      <c r="F796" s="155" cm="1">
        <f t="array" aca="1" ref="F796" ca="1">IFERROR(_xlfn.STOCKHISTORY("USD/BRL",E796,E796,0,0,1),Preços!$C$3)</f>
        <v>6.1798000000000002</v>
      </c>
    </row>
    <row r="797" spans="5:6" x14ac:dyDescent="0.25">
      <c r="E797" s="147">
        <f t="shared" si="11"/>
        <v>1</v>
      </c>
      <c r="F797" s="155" cm="1">
        <f t="array" aca="1" ref="F797" ca="1">IFERROR(_xlfn.STOCKHISTORY("USD/BRL",E797,E797,0,0,1),Preços!$C$3)</f>
        <v>6.1798000000000002</v>
      </c>
    </row>
    <row r="798" spans="5:6" x14ac:dyDescent="0.25">
      <c r="E798" s="147">
        <f t="shared" si="11"/>
        <v>1</v>
      </c>
      <c r="F798" s="155" cm="1">
        <f t="array" aca="1" ref="F798" ca="1">IFERROR(_xlfn.STOCKHISTORY("USD/BRL",E798,E798,0,0,1),Preços!$C$3)</f>
        <v>6.1798000000000002</v>
      </c>
    </row>
    <row r="799" spans="5:6" x14ac:dyDescent="0.25">
      <c r="E799" s="147">
        <f t="shared" si="11"/>
        <v>1</v>
      </c>
      <c r="F799" s="155" cm="1">
        <f t="array" aca="1" ref="F799" ca="1">IFERROR(_xlfn.STOCKHISTORY("USD/BRL",E799,E799,0,0,1),Preços!$C$3)</f>
        <v>6.1798000000000002</v>
      </c>
    </row>
    <row r="800" spans="5:6" x14ac:dyDescent="0.25">
      <c r="E800" s="147">
        <f t="shared" si="11"/>
        <v>1</v>
      </c>
      <c r="F800" s="155" cm="1">
        <f t="array" aca="1" ref="F800" ca="1">IFERROR(_xlfn.STOCKHISTORY("USD/BRL",E800,E800,0,0,1),Preços!$C$3)</f>
        <v>6.1798000000000002</v>
      </c>
    </row>
    <row r="801" spans="5:6" x14ac:dyDescent="0.25">
      <c r="E801" s="147">
        <f t="shared" si="11"/>
        <v>1</v>
      </c>
      <c r="F801" s="155" cm="1">
        <f t="array" aca="1" ref="F801" ca="1">IFERROR(_xlfn.STOCKHISTORY("USD/BRL",E801,E801,0,0,1),Preços!$C$3)</f>
        <v>6.1798000000000002</v>
      </c>
    </row>
    <row r="802" spans="5:6" x14ac:dyDescent="0.25">
      <c r="E802" s="147">
        <f t="shared" si="11"/>
        <v>1</v>
      </c>
      <c r="F802" s="155" cm="1">
        <f t="array" aca="1" ref="F802" ca="1">IFERROR(_xlfn.STOCKHISTORY("USD/BRL",E802,E802,0,0,1),Preços!$C$3)</f>
        <v>6.1798000000000002</v>
      </c>
    </row>
    <row r="803" spans="5:6" x14ac:dyDescent="0.25">
      <c r="E803" s="147">
        <f t="shared" si="11"/>
        <v>1</v>
      </c>
      <c r="F803" s="155" cm="1">
        <f t="array" aca="1" ref="F803" ca="1">IFERROR(_xlfn.STOCKHISTORY("USD/BRL",E803,E803,0,0,1),Preços!$C$3)</f>
        <v>6.1798000000000002</v>
      </c>
    </row>
    <row r="804" spans="5:6" x14ac:dyDescent="0.25">
      <c r="E804" s="147">
        <f t="shared" si="11"/>
        <v>1</v>
      </c>
      <c r="F804" s="155" cm="1">
        <f t="array" aca="1" ref="F804" ca="1">IFERROR(_xlfn.STOCKHISTORY("USD/BRL",E804,E804,0,0,1),Preços!$C$3)</f>
        <v>6.1798000000000002</v>
      </c>
    </row>
    <row r="805" spans="5:6" x14ac:dyDescent="0.25">
      <c r="E805" s="147">
        <f t="shared" si="11"/>
        <v>1</v>
      </c>
      <c r="F805" s="155" cm="1">
        <f t="array" aca="1" ref="F805" ca="1">IFERROR(_xlfn.STOCKHISTORY("USD/BRL",E805,E805,0,0,1),Preços!$C$3)</f>
        <v>6.1798000000000002</v>
      </c>
    </row>
    <row r="806" spans="5:6" x14ac:dyDescent="0.25">
      <c r="E806" s="147">
        <f t="shared" si="11"/>
        <v>1</v>
      </c>
      <c r="F806" s="155" cm="1">
        <f t="array" aca="1" ref="F806" ca="1">IFERROR(_xlfn.STOCKHISTORY("USD/BRL",E806,E806,0,0,1),Preços!$C$3)</f>
        <v>6.1798000000000002</v>
      </c>
    </row>
    <row r="807" spans="5:6" x14ac:dyDescent="0.25">
      <c r="E807" s="147">
        <f t="shared" si="11"/>
        <v>1</v>
      </c>
      <c r="F807" s="155" cm="1">
        <f t="array" aca="1" ref="F807" ca="1">IFERROR(_xlfn.STOCKHISTORY("USD/BRL",E807,E807,0,0,1),Preços!$C$3)</f>
        <v>6.1798000000000002</v>
      </c>
    </row>
    <row r="808" spans="5:6" x14ac:dyDescent="0.25">
      <c r="E808" s="147">
        <f t="shared" si="11"/>
        <v>1</v>
      </c>
      <c r="F808" s="155" cm="1">
        <f t="array" aca="1" ref="F808" ca="1">IFERROR(_xlfn.STOCKHISTORY("USD/BRL",E808,E808,0,0,1),Preços!$C$3)</f>
        <v>6.1798000000000002</v>
      </c>
    </row>
    <row r="809" spans="5:6" x14ac:dyDescent="0.25">
      <c r="E809" s="147">
        <f t="shared" si="11"/>
        <v>1</v>
      </c>
      <c r="F809" s="155" cm="1">
        <f t="array" aca="1" ref="F809" ca="1">IFERROR(_xlfn.STOCKHISTORY("USD/BRL",E809,E809,0,0,1),Preços!$C$3)</f>
        <v>6.1798000000000002</v>
      </c>
    </row>
    <row r="810" spans="5:6" x14ac:dyDescent="0.25">
      <c r="E810" s="147">
        <f t="shared" si="11"/>
        <v>1</v>
      </c>
      <c r="F810" s="155" cm="1">
        <f t="array" aca="1" ref="F810" ca="1">IFERROR(_xlfn.STOCKHISTORY("USD/BRL",E810,E810,0,0,1),Preços!$C$3)</f>
        <v>6.1798000000000002</v>
      </c>
    </row>
    <row r="811" spans="5:6" x14ac:dyDescent="0.25">
      <c r="E811" s="147">
        <f t="shared" si="11"/>
        <v>1</v>
      </c>
      <c r="F811" s="155" cm="1">
        <f t="array" aca="1" ref="F811" ca="1">IFERROR(_xlfn.STOCKHISTORY("USD/BRL",E811,E811,0,0,1),Preços!$C$3)</f>
        <v>6.1798000000000002</v>
      </c>
    </row>
    <row r="812" spans="5:6" x14ac:dyDescent="0.25">
      <c r="E812" s="147">
        <f t="shared" si="11"/>
        <v>1</v>
      </c>
      <c r="F812" s="155" cm="1">
        <f t="array" aca="1" ref="F812" ca="1">IFERROR(_xlfn.STOCKHISTORY("USD/BRL",E812,E812,0,0,1),Preços!$C$3)</f>
        <v>6.1798000000000002</v>
      </c>
    </row>
    <row r="813" spans="5:6" x14ac:dyDescent="0.25">
      <c r="E813" s="147">
        <f t="shared" si="11"/>
        <v>1</v>
      </c>
      <c r="F813" s="155" cm="1">
        <f t="array" aca="1" ref="F813" ca="1">IFERROR(_xlfn.STOCKHISTORY("USD/BRL",E813,E813,0,0,1),Preços!$C$3)</f>
        <v>6.1798000000000002</v>
      </c>
    </row>
    <row r="814" spans="5:6" x14ac:dyDescent="0.25">
      <c r="E814" s="147">
        <f t="shared" si="11"/>
        <v>1</v>
      </c>
      <c r="F814" s="155" cm="1">
        <f t="array" aca="1" ref="F814" ca="1">IFERROR(_xlfn.STOCKHISTORY("USD/BRL",E814,E814,0,0,1),Preços!$C$3)</f>
        <v>6.1798000000000002</v>
      </c>
    </row>
    <row r="815" spans="5:6" x14ac:dyDescent="0.25">
      <c r="E815" s="147">
        <f t="shared" si="11"/>
        <v>1</v>
      </c>
      <c r="F815" s="155" cm="1">
        <f t="array" aca="1" ref="F815" ca="1">IFERROR(_xlfn.STOCKHISTORY("USD/BRL",E815,E815,0,0,1),Preços!$C$3)</f>
        <v>6.1798000000000002</v>
      </c>
    </row>
    <row r="816" spans="5:6" x14ac:dyDescent="0.25">
      <c r="E816" s="147">
        <f t="shared" si="11"/>
        <v>1</v>
      </c>
      <c r="F816" s="155" cm="1">
        <f t="array" aca="1" ref="F816" ca="1">IFERROR(_xlfn.STOCKHISTORY("USD/BRL",E816,E816,0,0,1),Preços!$C$3)</f>
        <v>6.1798000000000002</v>
      </c>
    </row>
    <row r="817" spans="5:6" x14ac:dyDescent="0.25">
      <c r="E817" s="147">
        <f t="shared" si="11"/>
        <v>1</v>
      </c>
      <c r="F817" s="155" cm="1">
        <f t="array" aca="1" ref="F817" ca="1">IFERROR(_xlfn.STOCKHISTORY("USD/BRL",E817,E817,0,0,1),Preços!$C$3)</f>
        <v>6.1798000000000002</v>
      </c>
    </row>
    <row r="818" spans="5:6" x14ac:dyDescent="0.25">
      <c r="E818" s="147">
        <f t="shared" si="11"/>
        <v>1</v>
      </c>
      <c r="F818" s="155" cm="1">
        <f t="array" aca="1" ref="F818" ca="1">IFERROR(_xlfn.STOCKHISTORY("USD/BRL",E818,E818,0,0,1),Preços!$C$3)</f>
        <v>6.1798000000000002</v>
      </c>
    </row>
    <row r="819" spans="5:6" x14ac:dyDescent="0.25">
      <c r="E819" s="147">
        <f t="shared" si="11"/>
        <v>1</v>
      </c>
      <c r="F819" s="155" cm="1">
        <f t="array" aca="1" ref="F819" ca="1">IFERROR(_xlfn.STOCKHISTORY("USD/BRL",E819,E819,0,0,1),Preços!$C$3)</f>
        <v>6.1798000000000002</v>
      </c>
    </row>
    <row r="820" spans="5:6" x14ac:dyDescent="0.25">
      <c r="E820" s="147">
        <f t="shared" si="11"/>
        <v>1</v>
      </c>
      <c r="F820" s="155" cm="1">
        <f t="array" aca="1" ref="F820" ca="1">IFERROR(_xlfn.STOCKHISTORY("USD/BRL",E820,E820,0,0,1),Preços!$C$3)</f>
        <v>6.1798000000000002</v>
      </c>
    </row>
    <row r="821" spans="5:6" x14ac:dyDescent="0.25">
      <c r="E821" s="147">
        <f t="shared" si="11"/>
        <v>1</v>
      </c>
      <c r="F821" s="155" cm="1">
        <f t="array" aca="1" ref="F821" ca="1">IFERROR(_xlfn.STOCKHISTORY("USD/BRL",E821,E821,0,0,1),Preços!$C$3)</f>
        <v>6.1798000000000002</v>
      </c>
    </row>
    <row r="822" spans="5:6" x14ac:dyDescent="0.25">
      <c r="E822" s="147">
        <f t="shared" si="11"/>
        <v>1</v>
      </c>
      <c r="F822" s="155" cm="1">
        <f t="array" aca="1" ref="F822" ca="1">IFERROR(_xlfn.STOCKHISTORY("USD/BRL",E822,E822,0,0,1),Preços!$C$3)</f>
        <v>6.1798000000000002</v>
      </c>
    </row>
    <row r="823" spans="5:6" x14ac:dyDescent="0.25">
      <c r="E823" s="147">
        <f t="shared" si="11"/>
        <v>1</v>
      </c>
      <c r="F823" s="155" cm="1">
        <f t="array" aca="1" ref="F823" ca="1">IFERROR(_xlfn.STOCKHISTORY("USD/BRL",E823,E823,0,0,1),Preços!$C$3)</f>
        <v>6.1798000000000002</v>
      </c>
    </row>
    <row r="824" spans="5:6" x14ac:dyDescent="0.25">
      <c r="E824" s="147">
        <f t="shared" si="11"/>
        <v>1</v>
      </c>
      <c r="F824" s="155" cm="1">
        <f t="array" aca="1" ref="F824" ca="1">IFERROR(_xlfn.STOCKHISTORY("USD/BRL",E824,E824,0,0,1),Preços!$C$3)</f>
        <v>6.1798000000000002</v>
      </c>
    </row>
    <row r="825" spans="5:6" x14ac:dyDescent="0.25">
      <c r="E825" s="147">
        <f t="shared" si="11"/>
        <v>1</v>
      </c>
      <c r="F825" s="155" cm="1">
        <f t="array" aca="1" ref="F825" ca="1">IFERROR(_xlfn.STOCKHISTORY("USD/BRL",E825,E825,0,0,1),Preços!$C$3)</f>
        <v>6.1798000000000002</v>
      </c>
    </row>
    <row r="826" spans="5:6" x14ac:dyDescent="0.25">
      <c r="E826" s="147">
        <f t="shared" si="11"/>
        <v>1</v>
      </c>
      <c r="F826" s="155" cm="1">
        <f t="array" aca="1" ref="F826" ca="1">IFERROR(_xlfn.STOCKHISTORY("USD/BRL",E826,E826,0,0,1),Preços!$C$3)</f>
        <v>6.1798000000000002</v>
      </c>
    </row>
    <row r="827" spans="5:6" x14ac:dyDescent="0.25">
      <c r="E827" s="147">
        <f t="shared" si="11"/>
        <v>1</v>
      </c>
      <c r="F827" s="155" cm="1">
        <f t="array" aca="1" ref="F827" ca="1">IFERROR(_xlfn.STOCKHISTORY("USD/BRL",E827,E827,0,0,1),Preços!$C$3)</f>
        <v>6.1798000000000002</v>
      </c>
    </row>
    <row r="828" spans="5:6" x14ac:dyDescent="0.25">
      <c r="E828" s="147">
        <f t="shared" si="11"/>
        <v>1</v>
      </c>
      <c r="F828" s="155" cm="1">
        <f t="array" aca="1" ref="F828" ca="1">IFERROR(_xlfn.STOCKHISTORY("USD/BRL",E828,E828,0,0,1),Preços!$C$3)</f>
        <v>6.1798000000000002</v>
      </c>
    </row>
    <row r="829" spans="5:6" x14ac:dyDescent="0.25">
      <c r="E829" s="147">
        <f t="shared" si="11"/>
        <v>1</v>
      </c>
      <c r="F829" s="155" cm="1">
        <f t="array" aca="1" ref="F829" ca="1">IFERROR(_xlfn.STOCKHISTORY("USD/BRL",E829,E829,0,0,1),Preços!$C$3)</f>
        <v>6.1798000000000002</v>
      </c>
    </row>
    <row r="830" spans="5:6" x14ac:dyDescent="0.25">
      <c r="E830" s="147">
        <f t="shared" si="11"/>
        <v>1</v>
      </c>
      <c r="F830" s="155" cm="1">
        <f t="array" aca="1" ref="F830" ca="1">IFERROR(_xlfn.STOCKHISTORY("USD/BRL",E830,E830,0,0,1),Preços!$C$3)</f>
        <v>6.1798000000000002</v>
      </c>
    </row>
    <row r="831" spans="5:6" x14ac:dyDescent="0.25">
      <c r="E831" s="147">
        <f t="shared" si="11"/>
        <v>1</v>
      </c>
      <c r="F831" s="155" cm="1">
        <f t="array" aca="1" ref="F831" ca="1">IFERROR(_xlfn.STOCKHISTORY("USD/BRL",E831,E831,0,0,1),Preços!$C$3)</f>
        <v>6.1798000000000002</v>
      </c>
    </row>
    <row r="832" spans="5:6" x14ac:dyDescent="0.25">
      <c r="E832" s="147">
        <f t="shared" si="11"/>
        <v>1</v>
      </c>
      <c r="F832" s="155" cm="1">
        <f t="array" aca="1" ref="F832" ca="1">IFERROR(_xlfn.STOCKHISTORY("USD/BRL",E832,E832,0,0,1),Preços!$C$3)</f>
        <v>6.1798000000000002</v>
      </c>
    </row>
    <row r="833" spans="5:6" x14ac:dyDescent="0.25">
      <c r="E833" s="147">
        <f t="shared" si="11"/>
        <v>1</v>
      </c>
      <c r="F833" s="155" cm="1">
        <f t="array" aca="1" ref="F833" ca="1">IFERROR(_xlfn.STOCKHISTORY("USD/BRL",E833,E833,0,0,1),Preços!$C$3)</f>
        <v>6.1798000000000002</v>
      </c>
    </row>
    <row r="834" spans="5:6" x14ac:dyDescent="0.25">
      <c r="E834" s="147">
        <f t="shared" si="11"/>
        <v>1</v>
      </c>
      <c r="F834" s="155" cm="1">
        <f t="array" aca="1" ref="F834" ca="1">IFERROR(_xlfn.STOCKHISTORY("USD/BRL",E834,E834,0,0,1),Preços!$C$3)</f>
        <v>6.1798000000000002</v>
      </c>
    </row>
    <row r="835" spans="5:6" x14ac:dyDescent="0.25">
      <c r="E835" s="147">
        <f t="shared" si="11"/>
        <v>1</v>
      </c>
      <c r="F835" s="155" cm="1">
        <f t="array" aca="1" ref="F835" ca="1">IFERROR(_xlfn.STOCKHISTORY("USD/BRL",E835,E835,0,0,1),Preços!$C$3)</f>
        <v>6.1798000000000002</v>
      </c>
    </row>
    <row r="836" spans="5:6" x14ac:dyDescent="0.25">
      <c r="E836" s="147">
        <f t="shared" ref="E836:E899" si="12">DATE(YEAR(D742),MONTH(D742),1)</f>
        <v>1</v>
      </c>
      <c r="F836" s="155" cm="1">
        <f t="array" aca="1" ref="F836" ca="1">IFERROR(_xlfn.STOCKHISTORY("USD/BRL",E836,E836,0,0,1),Preços!$C$3)</f>
        <v>6.1798000000000002</v>
      </c>
    </row>
    <row r="837" spans="5:6" x14ac:dyDescent="0.25">
      <c r="E837" s="147">
        <f t="shared" si="12"/>
        <v>1</v>
      </c>
      <c r="F837" s="155" cm="1">
        <f t="array" aca="1" ref="F837" ca="1">IFERROR(_xlfn.STOCKHISTORY("USD/BRL",E837,E837,0,0,1),Preços!$C$3)</f>
        <v>6.1798000000000002</v>
      </c>
    </row>
    <row r="838" spans="5:6" x14ac:dyDescent="0.25">
      <c r="E838" s="147">
        <f t="shared" si="12"/>
        <v>1</v>
      </c>
      <c r="F838" s="155" cm="1">
        <f t="array" aca="1" ref="F838" ca="1">IFERROR(_xlfn.STOCKHISTORY("USD/BRL",E838,E838,0,0,1),Preços!$C$3)</f>
        <v>6.1798000000000002</v>
      </c>
    </row>
    <row r="839" spans="5:6" x14ac:dyDescent="0.25">
      <c r="E839" s="147">
        <f t="shared" si="12"/>
        <v>1</v>
      </c>
      <c r="F839" s="155" cm="1">
        <f t="array" aca="1" ref="F839" ca="1">IFERROR(_xlfn.STOCKHISTORY("USD/BRL",E839,E839,0,0,1),Preços!$C$3)</f>
        <v>6.1798000000000002</v>
      </c>
    </row>
    <row r="840" spans="5:6" x14ac:dyDescent="0.25">
      <c r="E840" s="147">
        <f t="shared" si="12"/>
        <v>1</v>
      </c>
      <c r="F840" s="155" cm="1">
        <f t="array" aca="1" ref="F840" ca="1">IFERROR(_xlfn.STOCKHISTORY("USD/BRL",E840,E840,0,0,1),Preços!$C$3)</f>
        <v>6.1798000000000002</v>
      </c>
    </row>
    <row r="841" spans="5:6" x14ac:dyDescent="0.25">
      <c r="E841" s="147">
        <f t="shared" si="12"/>
        <v>1</v>
      </c>
      <c r="F841" s="155" cm="1">
        <f t="array" aca="1" ref="F841" ca="1">IFERROR(_xlfn.STOCKHISTORY("USD/BRL",E841,E841,0,0,1),Preços!$C$3)</f>
        <v>6.1798000000000002</v>
      </c>
    </row>
    <row r="842" spans="5:6" x14ac:dyDescent="0.25">
      <c r="E842" s="147">
        <f t="shared" si="12"/>
        <v>1</v>
      </c>
      <c r="F842" s="155" cm="1">
        <f t="array" aca="1" ref="F842" ca="1">IFERROR(_xlfn.STOCKHISTORY("USD/BRL",E842,E842,0,0,1),Preços!$C$3)</f>
        <v>6.1798000000000002</v>
      </c>
    </row>
    <row r="843" spans="5:6" x14ac:dyDescent="0.25">
      <c r="E843" s="147">
        <f t="shared" si="12"/>
        <v>1</v>
      </c>
      <c r="F843" s="155" cm="1">
        <f t="array" aca="1" ref="F843" ca="1">IFERROR(_xlfn.STOCKHISTORY("USD/BRL",E843,E843,0,0,1),Preços!$C$3)</f>
        <v>6.1798000000000002</v>
      </c>
    </row>
    <row r="844" spans="5:6" x14ac:dyDescent="0.25">
      <c r="E844" s="147">
        <f t="shared" si="12"/>
        <v>1</v>
      </c>
      <c r="F844" s="155" cm="1">
        <f t="array" aca="1" ref="F844" ca="1">IFERROR(_xlfn.STOCKHISTORY("USD/BRL",E844,E844,0,0,1),Preços!$C$3)</f>
        <v>6.1798000000000002</v>
      </c>
    </row>
    <row r="845" spans="5:6" x14ac:dyDescent="0.25">
      <c r="E845" s="147">
        <f t="shared" si="12"/>
        <v>1</v>
      </c>
      <c r="F845" s="155" cm="1">
        <f t="array" aca="1" ref="F845" ca="1">IFERROR(_xlfn.STOCKHISTORY("USD/BRL",E845,E845,0,0,1),Preços!$C$3)</f>
        <v>6.1798000000000002</v>
      </c>
    </row>
    <row r="846" spans="5:6" x14ac:dyDescent="0.25">
      <c r="E846" s="147">
        <f t="shared" si="12"/>
        <v>1</v>
      </c>
      <c r="F846" s="155" cm="1">
        <f t="array" aca="1" ref="F846" ca="1">IFERROR(_xlfn.STOCKHISTORY("USD/BRL",E846,E846,0,0,1),Preços!$C$3)</f>
        <v>6.1798000000000002</v>
      </c>
    </row>
    <row r="847" spans="5:6" x14ac:dyDescent="0.25">
      <c r="E847" s="147">
        <f t="shared" si="12"/>
        <v>1</v>
      </c>
      <c r="F847" s="155" cm="1">
        <f t="array" aca="1" ref="F847" ca="1">IFERROR(_xlfn.STOCKHISTORY("USD/BRL",E847,E847,0,0,1),Preços!$C$3)</f>
        <v>6.1798000000000002</v>
      </c>
    </row>
    <row r="848" spans="5:6" x14ac:dyDescent="0.25">
      <c r="E848" s="147">
        <f t="shared" si="12"/>
        <v>1</v>
      </c>
      <c r="F848" s="155" cm="1">
        <f t="array" aca="1" ref="F848" ca="1">IFERROR(_xlfn.STOCKHISTORY("USD/BRL",E848,E848,0,0,1),Preços!$C$3)</f>
        <v>6.1798000000000002</v>
      </c>
    </row>
    <row r="849" spans="5:6" x14ac:dyDescent="0.25">
      <c r="E849" s="147">
        <f t="shared" si="12"/>
        <v>1</v>
      </c>
      <c r="F849" s="155" cm="1">
        <f t="array" aca="1" ref="F849" ca="1">IFERROR(_xlfn.STOCKHISTORY("USD/BRL",E849,E849,0,0,1),Preços!$C$3)</f>
        <v>6.1798000000000002</v>
      </c>
    </row>
    <row r="850" spans="5:6" x14ac:dyDescent="0.25">
      <c r="E850" s="147">
        <f t="shared" si="12"/>
        <v>1</v>
      </c>
      <c r="F850" s="155" cm="1">
        <f t="array" aca="1" ref="F850" ca="1">IFERROR(_xlfn.STOCKHISTORY("USD/BRL",E850,E850,0,0,1),Preços!$C$3)</f>
        <v>6.1798000000000002</v>
      </c>
    </row>
    <row r="851" spans="5:6" x14ac:dyDescent="0.25">
      <c r="E851" s="147">
        <f t="shared" si="12"/>
        <v>1</v>
      </c>
      <c r="F851" s="155" cm="1">
        <f t="array" aca="1" ref="F851" ca="1">IFERROR(_xlfn.STOCKHISTORY("USD/BRL",E851,E851,0,0,1),Preços!$C$3)</f>
        <v>6.1798000000000002</v>
      </c>
    </row>
    <row r="852" spans="5:6" x14ac:dyDescent="0.25">
      <c r="E852" s="147">
        <f t="shared" si="12"/>
        <v>1</v>
      </c>
      <c r="F852" s="155" cm="1">
        <f t="array" aca="1" ref="F852" ca="1">IFERROR(_xlfn.STOCKHISTORY("USD/BRL",E852,E852,0,0,1),Preços!$C$3)</f>
        <v>6.1798000000000002</v>
      </c>
    </row>
    <row r="853" spans="5:6" x14ac:dyDescent="0.25">
      <c r="E853" s="147">
        <f t="shared" si="12"/>
        <v>1</v>
      </c>
      <c r="F853" s="155" cm="1">
        <f t="array" aca="1" ref="F853" ca="1">IFERROR(_xlfn.STOCKHISTORY("USD/BRL",E853,E853,0,0,1),Preços!$C$3)</f>
        <v>6.1798000000000002</v>
      </c>
    </row>
    <row r="854" spans="5:6" x14ac:dyDescent="0.25">
      <c r="E854" s="147">
        <f t="shared" si="12"/>
        <v>1</v>
      </c>
      <c r="F854" s="155" cm="1">
        <f t="array" aca="1" ref="F854" ca="1">IFERROR(_xlfn.STOCKHISTORY("USD/BRL",E854,E854,0,0,1),Preços!$C$3)</f>
        <v>6.1798000000000002</v>
      </c>
    </row>
    <row r="855" spans="5:6" x14ac:dyDescent="0.25">
      <c r="E855" s="147">
        <f t="shared" si="12"/>
        <v>1</v>
      </c>
      <c r="F855" s="155" cm="1">
        <f t="array" aca="1" ref="F855" ca="1">IFERROR(_xlfn.STOCKHISTORY("USD/BRL",E855,E855,0,0,1),Preços!$C$3)</f>
        <v>6.1798000000000002</v>
      </c>
    </row>
    <row r="856" spans="5:6" x14ac:dyDescent="0.25">
      <c r="E856" s="147">
        <f t="shared" si="12"/>
        <v>1</v>
      </c>
      <c r="F856" s="155" cm="1">
        <f t="array" aca="1" ref="F856" ca="1">IFERROR(_xlfn.STOCKHISTORY("USD/BRL",E856,E856,0,0,1),Preços!$C$3)</f>
        <v>6.1798000000000002</v>
      </c>
    </row>
    <row r="857" spans="5:6" x14ac:dyDescent="0.25">
      <c r="E857" s="147">
        <f t="shared" si="12"/>
        <v>1</v>
      </c>
      <c r="F857" s="155" cm="1">
        <f t="array" aca="1" ref="F857" ca="1">IFERROR(_xlfn.STOCKHISTORY("USD/BRL",E857,E857,0,0,1),Preços!$C$3)</f>
        <v>6.1798000000000002</v>
      </c>
    </row>
    <row r="858" spans="5:6" x14ac:dyDescent="0.25">
      <c r="E858" s="147">
        <f t="shared" si="12"/>
        <v>1</v>
      </c>
      <c r="F858" s="155" cm="1">
        <f t="array" aca="1" ref="F858" ca="1">IFERROR(_xlfn.STOCKHISTORY("USD/BRL",E858,E858,0,0,1),Preços!$C$3)</f>
        <v>6.1798000000000002</v>
      </c>
    </row>
    <row r="859" spans="5:6" x14ac:dyDescent="0.25">
      <c r="E859" s="147">
        <f t="shared" si="12"/>
        <v>1</v>
      </c>
      <c r="F859" s="155" cm="1">
        <f t="array" aca="1" ref="F859" ca="1">IFERROR(_xlfn.STOCKHISTORY("USD/BRL",E859,E859,0,0,1),Preços!$C$3)</f>
        <v>6.1798000000000002</v>
      </c>
    </row>
    <row r="860" spans="5:6" x14ac:dyDescent="0.25">
      <c r="E860" s="147">
        <f t="shared" si="12"/>
        <v>1</v>
      </c>
      <c r="F860" s="155" cm="1">
        <f t="array" aca="1" ref="F860" ca="1">IFERROR(_xlfn.STOCKHISTORY("USD/BRL",E860,E860,0,0,1),Preços!$C$3)</f>
        <v>6.1798000000000002</v>
      </c>
    </row>
    <row r="861" spans="5:6" x14ac:dyDescent="0.25">
      <c r="E861" s="147">
        <f t="shared" si="12"/>
        <v>1</v>
      </c>
      <c r="F861" s="155" cm="1">
        <f t="array" aca="1" ref="F861" ca="1">IFERROR(_xlfn.STOCKHISTORY("USD/BRL",E861,E861,0,0,1),Preços!$C$3)</f>
        <v>6.1798000000000002</v>
      </c>
    </row>
    <row r="862" spans="5:6" x14ac:dyDescent="0.25">
      <c r="E862" s="147">
        <f t="shared" si="12"/>
        <v>1</v>
      </c>
      <c r="F862" s="155" cm="1">
        <f t="array" aca="1" ref="F862" ca="1">IFERROR(_xlfn.STOCKHISTORY("USD/BRL",E862,E862,0,0,1),Preços!$C$3)</f>
        <v>6.1798000000000002</v>
      </c>
    </row>
    <row r="863" spans="5:6" x14ac:dyDescent="0.25">
      <c r="E863" s="147">
        <f t="shared" si="12"/>
        <v>1</v>
      </c>
      <c r="F863" s="155" cm="1">
        <f t="array" aca="1" ref="F863" ca="1">IFERROR(_xlfn.STOCKHISTORY("USD/BRL",E863,E863,0,0,1),Preços!$C$3)</f>
        <v>6.1798000000000002</v>
      </c>
    </row>
    <row r="864" spans="5:6" x14ac:dyDescent="0.25">
      <c r="E864" s="147">
        <f t="shared" si="12"/>
        <v>1</v>
      </c>
      <c r="F864" s="155" cm="1">
        <f t="array" aca="1" ref="F864" ca="1">IFERROR(_xlfn.STOCKHISTORY("USD/BRL",E864,E864,0,0,1),Preços!$C$3)</f>
        <v>6.1798000000000002</v>
      </c>
    </row>
    <row r="865" spans="5:6" x14ac:dyDescent="0.25">
      <c r="E865" s="147">
        <f t="shared" si="12"/>
        <v>1</v>
      </c>
      <c r="F865" s="155" cm="1">
        <f t="array" aca="1" ref="F865" ca="1">IFERROR(_xlfn.STOCKHISTORY("USD/BRL",E865,E865,0,0,1),Preços!$C$3)</f>
        <v>6.1798000000000002</v>
      </c>
    </row>
    <row r="866" spans="5:6" x14ac:dyDescent="0.25">
      <c r="E866" s="147">
        <f t="shared" si="12"/>
        <v>1</v>
      </c>
      <c r="F866" s="155" cm="1">
        <f t="array" aca="1" ref="F866" ca="1">IFERROR(_xlfn.STOCKHISTORY("USD/BRL",E866,E866,0,0,1),Preços!$C$3)</f>
        <v>6.1798000000000002</v>
      </c>
    </row>
    <row r="867" spans="5:6" x14ac:dyDescent="0.25">
      <c r="E867" s="147">
        <f t="shared" si="12"/>
        <v>1</v>
      </c>
      <c r="F867" s="155" cm="1">
        <f t="array" aca="1" ref="F867" ca="1">IFERROR(_xlfn.STOCKHISTORY("USD/BRL",E867,E867,0,0,1),Preços!$C$3)</f>
        <v>6.1798000000000002</v>
      </c>
    </row>
    <row r="868" spans="5:6" x14ac:dyDescent="0.25">
      <c r="E868" s="147">
        <f t="shared" si="12"/>
        <v>1</v>
      </c>
      <c r="F868" s="155" cm="1">
        <f t="array" aca="1" ref="F868" ca="1">IFERROR(_xlfn.STOCKHISTORY("USD/BRL",E868,E868,0,0,1),Preços!$C$3)</f>
        <v>6.1798000000000002</v>
      </c>
    </row>
    <row r="869" spans="5:6" x14ac:dyDescent="0.25">
      <c r="E869" s="147">
        <f t="shared" si="12"/>
        <v>1</v>
      </c>
      <c r="F869" s="155" cm="1">
        <f t="array" aca="1" ref="F869" ca="1">IFERROR(_xlfn.STOCKHISTORY("USD/BRL",E869,E869,0,0,1),Preços!$C$3)</f>
        <v>6.1798000000000002</v>
      </c>
    </row>
    <row r="870" spans="5:6" x14ac:dyDescent="0.25">
      <c r="E870" s="147">
        <f t="shared" si="12"/>
        <v>1</v>
      </c>
      <c r="F870" s="155" cm="1">
        <f t="array" aca="1" ref="F870" ca="1">IFERROR(_xlfn.STOCKHISTORY("USD/BRL",E870,E870,0,0,1),Preços!$C$3)</f>
        <v>6.1798000000000002</v>
      </c>
    </row>
    <row r="871" spans="5:6" x14ac:dyDescent="0.25">
      <c r="E871" s="147">
        <f t="shared" si="12"/>
        <v>1</v>
      </c>
      <c r="F871" s="155" cm="1">
        <f t="array" aca="1" ref="F871" ca="1">IFERROR(_xlfn.STOCKHISTORY("USD/BRL",E871,E871,0,0,1),Preços!$C$3)</f>
        <v>6.1798000000000002</v>
      </c>
    </row>
    <row r="872" spans="5:6" x14ac:dyDescent="0.25">
      <c r="E872" s="147">
        <f t="shared" si="12"/>
        <v>1</v>
      </c>
      <c r="F872" s="155" cm="1">
        <f t="array" aca="1" ref="F872" ca="1">IFERROR(_xlfn.STOCKHISTORY("USD/BRL",E872,E872,0,0,1),Preços!$C$3)</f>
        <v>6.1798000000000002</v>
      </c>
    </row>
    <row r="873" spans="5:6" x14ac:dyDescent="0.25">
      <c r="E873" s="147">
        <f t="shared" si="12"/>
        <v>1</v>
      </c>
      <c r="F873" s="155" cm="1">
        <f t="array" aca="1" ref="F873" ca="1">IFERROR(_xlfn.STOCKHISTORY("USD/BRL",E873,E873,0,0,1),Preços!$C$3)</f>
        <v>6.1798000000000002</v>
      </c>
    </row>
    <row r="874" spans="5:6" x14ac:dyDescent="0.25">
      <c r="E874" s="147">
        <f t="shared" si="12"/>
        <v>1</v>
      </c>
      <c r="F874" s="155" cm="1">
        <f t="array" aca="1" ref="F874" ca="1">IFERROR(_xlfn.STOCKHISTORY("USD/BRL",E874,E874,0,0,1),Preços!$C$3)</f>
        <v>6.1798000000000002</v>
      </c>
    </row>
    <row r="875" spans="5:6" x14ac:dyDescent="0.25">
      <c r="E875" s="147">
        <f t="shared" si="12"/>
        <v>1</v>
      </c>
      <c r="F875" s="155" cm="1">
        <f t="array" aca="1" ref="F875" ca="1">IFERROR(_xlfn.STOCKHISTORY("USD/BRL",E875,E875,0,0,1),Preços!$C$3)</f>
        <v>6.1798000000000002</v>
      </c>
    </row>
    <row r="876" spans="5:6" x14ac:dyDescent="0.25">
      <c r="E876" s="147">
        <f t="shared" si="12"/>
        <v>1</v>
      </c>
      <c r="F876" s="155" cm="1">
        <f t="array" aca="1" ref="F876" ca="1">IFERROR(_xlfn.STOCKHISTORY("USD/BRL",E876,E876,0,0,1),Preços!$C$3)</f>
        <v>6.1798000000000002</v>
      </c>
    </row>
    <row r="877" spans="5:6" x14ac:dyDescent="0.25">
      <c r="E877" s="147">
        <f t="shared" si="12"/>
        <v>1</v>
      </c>
      <c r="F877" s="155" cm="1">
        <f t="array" aca="1" ref="F877" ca="1">IFERROR(_xlfn.STOCKHISTORY("USD/BRL",E877,E877,0,0,1),Preços!$C$3)</f>
        <v>6.1798000000000002</v>
      </c>
    </row>
    <row r="878" spans="5:6" x14ac:dyDescent="0.25">
      <c r="E878" s="147">
        <f t="shared" si="12"/>
        <v>1</v>
      </c>
      <c r="F878" s="155" cm="1">
        <f t="array" aca="1" ref="F878" ca="1">IFERROR(_xlfn.STOCKHISTORY("USD/BRL",E878,E878,0,0,1),Preços!$C$3)</f>
        <v>6.1798000000000002</v>
      </c>
    </row>
    <row r="879" spans="5:6" x14ac:dyDescent="0.25">
      <c r="E879" s="147">
        <f t="shared" si="12"/>
        <v>1</v>
      </c>
      <c r="F879" s="155" cm="1">
        <f t="array" aca="1" ref="F879" ca="1">IFERROR(_xlfn.STOCKHISTORY("USD/BRL",E879,E879,0,0,1),Preços!$C$3)</f>
        <v>6.1798000000000002</v>
      </c>
    </row>
    <row r="880" spans="5:6" x14ac:dyDescent="0.25">
      <c r="E880" s="147">
        <f t="shared" si="12"/>
        <v>1</v>
      </c>
      <c r="F880" s="155" cm="1">
        <f t="array" aca="1" ref="F880" ca="1">IFERROR(_xlfn.STOCKHISTORY("USD/BRL",E880,E880,0,0,1),Preços!$C$3)</f>
        <v>6.1798000000000002</v>
      </c>
    </row>
    <row r="881" spans="5:6" x14ac:dyDescent="0.25">
      <c r="E881" s="147">
        <f t="shared" si="12"/>
        <v>1</v>
      </c>
      <c r="F881" s="155" cm="1">
        <f t="array" aca="1" ref="F881" ca="1">IFERROR(_xlfn.STOCKHISTORY("USD/BRL",E881,E881,0,0,1),Preços!$C$3)</f>
        <v>6.1798000000000002</v>
      </c>
    </row>
    <row r="882" spans="5:6" x14ac:dyDescent="0.25">
      <c r="E882" s="147">
        <f t="shared" si="12"/>
        <v>1</v>
      </c>
      <c r="F882" s="155" cm="1">
        <f t="array" aca="1" ref="F882" ca="1">IFERROR(_xlfn.STOCKHISTORY("USD/BRL",E882,E882,0,0,1),Preços!$C$3)</f>
        <v>6.1798000000000002</v>
      </c>
    </row>
    <row r="883" spans="5:6" x14ac:dyDescent="0.25">
      <c r="E883" s="147">
        <f t="shared" si="12"/>
        <v>1</v>
      </c>
      <c r="F883" s="155" cm="1">
        <f t="array" aca="1" ref="F883" ca="1">IFERROR(_xlfn.STOCKHISTORY("USD/BRL",E883,E883,0,0,1),Preços!$C$3)</f>
        <v>6.1798000000000002</v>
      </c>
    </row>
    <row r="884" spans="5:6" x14ac:dyDescent="0.25">
      <c r="E884" s="147">
        <f t="shared" si="12"/>
        <v>1</v>
      </c>
      <c r="F884" s="155" cm="1">
        <f t="array" aca="1" ref="F884" ca="1">IFERROR(_xlfn.STOCKHISTORY("USD/BRL",E884,E884,0,0,1),Preços!$C$3)</f>
        <v>6.1798000000000002</v>
      </c>
    </row>
    <row r="885" spans="5:6" x14ac:dyDescent="0.25">
      <c r="E885" s="147">
        <f t="shared" si="12"/>
        <v>1</v>
      </c>
      <c r="F885" s="155" cm="1">
        <f t="array" aca="1" ref="F885" ca="1">IFERROR(_xlfn.STOCKHISTORY("USD/BRL",E885,E885,0,0,1),Preços!$C$3)</f>
        <v>6.1798000000000002</v>
      </c>
    </row>
    <row r="886" spans="5:6" x14ac:dyDescent="0.25">
      <c r="E886" s="147">
        <f t="shared" si="12"/>
        <v>1</v>
      </c>
      <c r="F886" s="155" cm="1">
        <f t="array" aca="1" ref="F886" ca="1">IFERROR(_xlfn.STOCKHISTORY("USD/BRL",E886,E886,0,0,1),Preços!$C$3)</f>
        <v>6.1798000000000002</v>
      </c>
    </row>
    <row r="887" spans="5:6" x14ac:dyDescent="0.25">
      <c r="E887" s="147">
        <f t="shared" si="12"/>
        <v>1</v>
      </c>
      <c r="F887" s="155" cm="1">
        <f t="array" aca="1" ref="F887" ca="1">IFERROR(_xlfn.STOCKHISTORY("USD/BRL",E887,E887,0,0,1),Preços!$C$3)</f>
        <v>6.1798000000000002</v>
      </c>
    </row>
    <row r="888" spans="5:6" x14ac:dyDescent="0.25">
      <c r="E888" s="147">
        <f t="shared" si="12"/>
        <v>1</v>
      </c>
      <c r="F888" s="155" cm="1">
        <f t="array" aca="1" ref="F888" ca="1">IFERROR(_xlfn.STOCKHISTORY("USD/BRL",E888,E888,0,0,1),Preços!$C$3)</f>
        <v>6.1798000000000002</v>
      </c>
    </row>
    <row r="889" spans="5:6" x14ac:dyDescent="0.25">
      <c r="E889" s="147">
        <f t="shared" si="12"/>
        <v>1</v>
      </c>
      <c r="F889" s="155" cm="1">
        <f t="array" aca="1" ref="F889" ca="1">IFERROR(_xlfn.STOCKHISTORY("USD/BRL",E889,E889,0,0,1),Preços!$C$3)</f>
        <v>6.1798000000000002</v>
      </c>
    </row>
    <row r="890" spans="5:6" x14ac:dyDescent="0.25">
      <c r="E890" s="147">
        <f t="shared" si="12"/>
        <v>1</v>
      </c>
      <c r="F890" s="155" cm="1">
        <f t="array" aca="1" ref="F890" ca="1">IFERROR(_xlfn.STOCKHISTORY("USD/BRL",E890,E890,0,0,1),Preços!$C$3)</f>
        <v>6.1798000000000002</v>
      </c>
    </row>
    <row r="891" spans="5:6" x14ac:dyDescent="0.25">
      <c r="E891" s="147">
        <f t="shared" si="12"/>
        <v>1</v>
      </c>
      <c r="F891" s="155" cm="1">
        <f t="array" aca="1" ref="F891" ca="1">IFERROR(_xlfn.STOCKHISTORY("USD/BRL",E891,E891,0,0,1),Preços!$C$3)</f>
        <v>6.1798000000000002</v>
      </c>
    </row>
    <row r="892" spans="5:6" x14ac:dyDescent="0.25">
      <c r="E892" s="147">
        <f t="shared" si="12"/>
        <v>1</v>
      </c>
      <c r="F892" s="155" cm="1">
        <f t="array" aca="1" ref="F892" ca="1">IFERROR(_xlfn.STOCKHISTORY("USD/BRL",E892,E892,0,0,1),Preços!$C$3)</f>
        <v>6.1798000000000002</v>
      </c>
    </row>
    <row r="893" spans="5:6" x14ac:dyDescent="0.25">
      <c r="E893" s="147">
        <f t="shared" si="12"/>
        <v>1</v>
      </c>
      <c r="F893" s="155" cm="1">
        <f t="array" aca="1" ref="F893" ca="1">IFERROR(_xlfn.STOCKHISTORY("USD/BRL",E893,E893,0,0,1),Preços!$C$3)</f>
        <v>6.1798000000000002</v>
      </c>
    </row>
    <row r="894" spans="5:6" x14ac:dyDescent="0.25">
      <c r="E894" s="147">
        <f t="shared" si="12"/>
        <v>1</v>
      </c>
      <c r="F894" s="155" cm="1">
        <f t="array" aca="1" ref="F894" ca="1">IFERROR(_xlfn.STOCKHISTORY("USD/BRL",E894,E894,0,0,1),Preços!$C$3)</f>
        <v>6.1798000000000002</v>
      </c>
    </row>
    <row r="895" spans="5:6" x14ac:dyDescent="0.25">
      <c r="E895" s="147">
        <f t="shared" si="12"/>
        <v>1</v>
      </c>
      <c r="F895" s="155" cm="1">
        <f t="array" aca="1" ref="F895" ca="1">IFERROR(_xlfn.STOCKHISTORY("USD/BRL",E895,E895,0,0,1),Preços!$C$3)</f>
        <v>6.1798000000000002</v>
      </c>
    </row>
    <row r="896" spans="5:6" x14ac:dyDescent="0.25">
      <c r="E896" s="147">
        <f t="shared" si="12"/>
        <v>1</v>
      </c>
      <c r="F896" s="155" cm="1">
        <f t="array" aca="1" ref="F896" ca="1">IFERROR(_xlfn.STOCKHISTORY("USD/BRL",E896,E896,0,0,1),Preços!$C$3)</f>
        <v>6.1798000000000002</v>
      </c>
    </row>
    <row r="897" spans="5:6" x14ac:dyDescent="0.25">
      <c r="E897" s="147">
        <f t="shared" si="12"/>
        <v>1</v>
      </c>
      <c r="F897" s="155" cm="1">
        <f t="array" aca="1" ref="F897" ca="1">IFERROR(_xlfn.STOCKHISTORY("USD/BRL",E897,E897,0,0,1),Preços!$C$3)</f>
        <v>6.1798000000000002</v>
      </c>
    </row>
    <row r="898" spans="5:6" x14ac:dyDescent="0.25">
      <c r="E898" s="147">
        <f t="shared" si="12"/>
        <v>1</v>
      </c>
      <c r="F898" s="155" cm="1">
        <f t="array" aca="1" ref="F898" ca="1">IFERROR(_xlfn.STOCKHISTORY("USD/BRL",E898,E898,0,0,1),Preços!$C$3)</f>
        <v>6.1798000000000002</v>
      </c>
    </row>
    <row r="899" spans="5:6" x14ac:dyDescent="0.25">
      <c r="E899" s="147">
        <f t="shared" si="12"/>
        <v>1</v>
      </c>
      <c r="F899" s="155" cm="1">
        <f t="array" aca="1" ref="F899" ca="1">IFERROR(_xlfn.STOCKHISTORY("USD/BRL",E899,E899,0,0,1),Preços!$C$3)</f>
        <v>6.1798000000000002</v>
      </c>
    </row>
    <row r="900" spans="5:6" x14ac:dyDescent="0.25">
      <c r="E900" s="147">
        <f t="shared" ref="E900:E963" si="13">DATE(YEAR(D806),MONTH(D806),1)</f>
        <v>1</v>
      </c>
      <c r="F900" s="155" cm="1">
        <f t="array" aca="1" ref="F900" ca="1">IFERROR(_xlfn.STOCKHISTORY("USD/BRL",E900,E900,0,0,1),Preços!$C$3)</f>
        <v>6.1798000000000002</v>
      </c>
    </row>
    <row r="901" spans="5:6" x14ac:dyDescent="0.25">
      <c r="E901" s="147">
        <f t="shared" si="13"/>
        <v>1</v>
      </c>
      <c r="F901" s="155" cm="1">
        <f t="array" aca="1" ref="F901" ca="1">IFERROR(_xlfn.STOCKHISTORY("USD/BRL",E901,E901,0,0,1),Preços!$C$3)</f>
        <v>6.1798000000000002</v>
      </c>
    </row>
    <row r="902" spans="5:6" x14ac:dyDescent="0.25">
      <c r="E902" s="147">
        <f t="shared" si="13"/>
        <v>1</v>
      </c>
      <c r="F902" s="155" cm="1">
        <f t="array" aca="1" ref="F902" ca="1">IFERROR(_xlfn.STOCKHISTORY("USD/BRL",E902,E902,0,0,1),Preços!$C$3)</f>
        <v>6.1798000000000002</v>
      </c>
    </row>
    <row r="903" spans="5:6" x14ac:dyDescent="0.25">
      <c r="E903" s="147">
        <f t="shared" si="13"/>
        <v>1</v>
      </c>
      <c r="F903" s="155" cm="1">
        <f t="array" aca="1" ref="F903" ca="1">IFERROR(_xlfn.STOCKHISTORY("USD/BRL",E903,E903,0,0,1),Preços!$C$3)</f>
        <v>6.1798000000000002</v>
      </c>
    </row>
    <row r="904" spans="5:6" x14ac:dyDescent="0.25">
      <c r="E904" s="147">
        <f t="shared" si="13"/>
        <v>1</v>
      </c>
      <c r="F904" s="155" cm="1">
        <f t="array" aca="1" ref="F904" ca="1">IFERROR(_xlfn.STOCKHISTORY("USD/BRL",E904,E904,0,0,1),Preços!$C$3)</f>
        <v>6.1798000000000002</v>
      </c>
    </row>
    <row r="905" spans="5:6" x14ac:dyDescent="0.25">
      <c r="E905" s="147">
        <f t="shared" si="13"/>
        <v>1</v>
      </c>
      <c r="F905" s="155" cm="1">
        <f t="array" aca="1" ref="F905" ca="1">IFERROR(_xlfn.STOCKHISTORY("USD/BRL",E905,E905,0,0,1),Preços!$C$3)</f>
        <v>6.1798000000000002</v>
      </c>
    </row>
    <row r="906" spans="5:6" x14ac:dyDescent="0.25">
      <c r="E906" s="147">
        <f t="shared" si="13"/>
        <v>1</v>
      </c>
      <c r="F906" s="155" cm="1">
        <f t="array" aca="1" ref="F906" ca="1">IFERROR(_xlfn.STOCKHISTORY("USD/BRL",E906,E906,0,0,1),Preços!$C$3)</f>
        <v>6.1798000000000002</v>
      </c>
    </row>
    <row r="907" spans="5:6" x14ac:dyDescent="0.25">
      <c r="E907" s="147">
        <f t="shared" si="13"/>
        <v>1</v>
      </c>
      <c r="F907" s="155" cm="1">
        <f t="array" aca="1" ref="F907" ca="1">IFERROR(_xlfn.STOCKHISTORY("USD/BRL",E907,E907,0,0,1),Preços!$C$3)</f>
        <v>6.1798000000000002</v>
      </c>
    </row>
    <row r="908" spans="5:6" x14ac:dyDescent="0.25">
      <c r="E908" s="147">
        <f t="shared" si="13"/>
        <v>1</v>
      </c>
      <c r="F908" s="155" cm="1">
        <f t="array" aca="1" ref="F908" ca="1">IFERROR(_xlfn.STOCKHISTORY("USD/BRL",E908,E908,0,0,1),Preços!$C$3)</f>
        <v>6.1798000000000002</v>
      </c>
    </row>
    <row r="909" spans="5:6" x14ac:dyDescent="0.25">
      <c r="E909" s="147">
        <f t="shared" si="13"/>
        <v>1</v>
      </c>
      <c r="F909" s="155" cm="1">
        <f t="array" aca="1" ref="F909" ca="1">IFERROR(_xlfn.STOCKHISTORY("USD/BRL",E909,E909,0,0,1),Preços!$C$3)</f>
        <v>6.1798000000000002</v>
      </c>
    </row>
    <row r="910" spans="5:6" x14ac:dyDescent="0.25">
      <c r="E910" s="147">
        <f t="shared" si="13"/>
        <v>1</v>
      </c>
      <c r="F910" s="155" cm="1">
        <f t="array" aca="1" ref="F910" ca="1">IFERROR(_xlfn.STOCKHISTORY("USD/BRL",E910,E910,0,0,1),Preços!$C$3)</f>
        <v>6.1798000000000002</v>
      </c>
    </row>
    <row r="911" spans="5:6" x14ac:dyDescent="0.25">
      <c r="E911" s="147">
        <f t="shared" si="13"/>
        <v>1</v>
      </c>
      <c r="F911" s="155" cm="1">
        <f t="array" aca="1" ref="F911" ca="1">IFERROR(_xlfn.STOCKHISTORY("USD/BRL",E911,E911,0,0,1),Preços!$C$3)</f>
        <v>6.1798000000000002</v>
      </c>
    </row>
    <row r="912" spans="5:6" x14ac:dyDescent="0.25">
      <c r="E912" s="147">
        <f t="shared" si="13"/>
        <v>1</v>
      </c>
      <c r="F912" s="155" cm="1">
        <f t="array" aca="1" ref="F912" ca="1">IFERROR(_xlfn.STOCKHISTORY("USD/BRL",E912,E912,0,0,1),Preços!$C$3)</f>
        <v>6.1798000000000002</v>
      </c>
    </row>
    <row r="913" spans="5:6" x14ac:dyDescent="0.25">
      <c r="E913" s="147">
        <f t="shared" si="13"/>
        <v>1</v>
      </c>
      <c r="F913" s="155" cm="1">
        <f t="array" aca="1" ref="F913" ca="1">IFERROR(_xlfn.STOCKHISTORY("USD/BRL",E913,E913,0,0,1),Preços!$C$3)</f>
        <v>6.1798000000000002</v>
      </c>
    </row>
    <row r="914" spans="5:6" x14ac:dyDescent="0.25">
      <c r="E914" s="147">
        <f t="shared" si="13"/>
        <v>1</v>
      </c>
      <c r="F914" s="155" cm="1">
        <f t="array" aca="1" ref="F914" ca="1">IFERROR(_xlfn.STOCKHISTORY("USD/BRL",E914,E914,0,0,1),Preços!$C$3)</f>
        <v>6.1798000000000002</v>
      </c>
    </row>
    <row r="915" spans="5:6" x14ac:dyDescent="0.25">
      <c r="E915" s="147">
        <f t="shared" si="13"/>
        <v>1</v>
      </c>
      <c r="F915" s="155" cm="1">
        <f t="array" aca="1" ref="F915" ca="1">IFERROR(_xlfn.STOCKHISTORY("USD/BRL",E915,E915,0,0,1),Preços!$C$3)</f>
        <v>6.1798000000000002</v>
      </c>
    </row>
    <row r="916" spans="5:6" x14ac:dyDescent="0.25">
      <c r="E916" s="147">
        <f t="shared" si="13"/>
        <v>1</v>
      </c>
      <c r="F916" s="155" cm="1">
        <f t="array" aca="1" ref="F916" ca="1">IFERROR(_xlfn.STOCKHISTORY("USD/BRL",E916,E916,0,0,1),Preços!$C$3)</f>
        <v>6.1798000000000002</v>
      </c>
    </row>
    <row r="917" spans="5:6" x14ac:dyDescent="0.25">
      <c r="E917" s="147">
        <f t="shared" si="13"/>
        <v>1</v>
      </c>
      <c r="F917" s="155" cm="1">
        <f t="array" aca="1" ref="F917" ca="1">IFERROR(_xlfn.STOCKHISTORY("USD/BRL",E917,E917,0,0,1),Preços!$C$3)</f>
        <v>6.1798000000000002</v>
      </c>
    </row>
    <row r="918" spans="5:6" x14ac:dyDescent="0.25">
      <c r="E918" s="147">
        <f t="shared" si="13"/>
        <v>1</v>
      </c>
      <c r="F918" s="155" cm="1">
        <f t="array" aca="1" ref="F918" ca="1">IFERROR(_xlfn.STOCKHISTORY("USD/BRL",E918,E918,0,0,1),Preços!$C$3)</f>
        <v>6.1798000000000002</v>
      </c>
    </row>
    <row r="919" spans="5:6" x14ac:dyDescent="0.25">
      <c r="E919" s="147">
        <f t="shared" si="13"/>
        <v>1</v>
      </c>
      <c r="F919" s="155" cm="1">
        <f t="array" aca="1" ref="F919" ca="1">IFERROR(_xlfn.STOCKHISTORY("USD/BRL",E919,E919,0,0,1),Preços!$C$3)</f>
        <v>6.1798000000000002</v>
      </c>
    </row>
    <row r="920" spans="5:6" x14ac:dyDescent="0.25">
      <c r="E920" s="147">
        <f t="shared" si="13"/>
        <v>1</v>
      </c>
      <c r="F920" s="155" cm="1">
        <f t="array" aca="1" ref="F920" ca="1">IFERROR(_xlfn.STOCKHISTORY("USD/BRL",E920,E920,0,0,1),Preços!$C$3)</f>
        <v>6.1798000000000002</v>
      </c>
    </row>
    <row r="921" spans="5:6" x14ac:dyDescent="0.25">
      <c r="E921" s="147">
        <f t="shared" si="13"/>
        <v>1</v>
      </c>
      <c r="F921" s="155" cm="1">
        <f t="array" aca="1" ref="F921" ca="1">IFERROR(_xlfn.STOCKHISTORY("USD/BRL",E921,E921,0,0,1),Preços!$C$3)</f>
        <v>6.1798000000000002</v>
      </c>
    </row>
    <row r="922" spans="5:6" x14ac:dyDescent="0.25">
      <c r="E922" s="147">
        <f t="shared" si="13"/>
        <v>1</v>
      </c>
      <c r="F922" s="155" cm="1">
        <f t="array" aca="1" ref="F922" ca="1">IFERROR(_xlfn.STOCKHISTORY("USD/BRL",E922,E922,0,0,1),Preços!$C$3)</f>
        <v>6.1798000000000002</v>
      </c>
    </row>
    <row r="923" spans="5:6" x14ac:dyDescent="0.25">
      <c r="E923" s="147">
        <f t="shared" si="13"/>
        <v>1</v>
      </c>
      <c r="F923" s="155" cm="1">
        <f t="array" aca="1" ref="F923" ca="1">IFERROR(_xlfn.STOCKHISTORY("USD/BRL",E923,E923,0,0,1),Preços!$C$3)</f>
        <v>6.1798000000000002</v>
      </c>
    </row>
    <row r="924" spans="5:6" x14ac:dyDescent="0.25">
      <c r="E924" s="147">
        <f t="shared" si="13"/>
        <v>1</v>
      </c>
      <c r="F924" s="155" cm="1">
        <f t="array" aca="1" ref="F924" ca="1">IFERROR(_xlfn.STOCKHISTORY("USD/BRL",E924,E924,0,0,1),Preços!$C$3)</f>
        <v>6.1798000000000002</v>
      </c>
    </row>
    <row r="925" spans="5:6" x14ac:dyDescent="0.25">
      <c r="E925" s="147">
        <f t="shared" si="13"/>
        <v>1</v>
      </c>
      <c r="F925" s="155" cm="1">
        <f t="array" aca="1" ref="F925" ca="1">IFERROR(_xlfn.STOCKHISTORY("USD/BRL",E925,E925,0,0,1),Preços!$C$3)</f>
        <v>6.1798000000000002</v>
      </c>
    </row>
    <row r="926" spans="5:6" x14ac:dyDescent="0.25">
      <c r="E926" s="147">
        <f t="shared" si="13"/>
        <v>1</v>
      </c>
      <c r="F926" s="155" cm="1">
        <f t="array" aca="1" ref="F926" ca="1">IFERROR(_xlfn.STOCKHISTORY("USD/BRL",E926,E926,0,0,1),Preços!$C$3)</f>
        <v>6.1798000000000002</v>
      </c>
    </row>
    <row r="927" spans="5:6" x14ac:dyDescent="0.25">
      <c r="E927" s="147">
        <f t="shared" si="13"/>
        <v>1</v>
      </c>
      <c r="F927" s="155" cm="1">
        <f t="array" aca="1" ref="F927" ca="1">IFERROR(_xlfn.STOCKHISTORY("USD/BRL",E927,E927,0,0,1),Preços!$C$3)</f>
        <v>6.1798000000000002</v>
      </c>
    </row>
    <row r="928" spans="5:6" x14ac:dyDescent="0.25">
      <c r="E928" s="147">
        <f t="shared" si="13"/>
        <v>1</v>
      </c>
      <c r="F928" s="155" cm="1">
        <f t="array" aca="1" ref="F928" ca="1">IFERROR(_xlfn.STOCKHISTORY("USD/BRL",E928,E928,0,0,1),Preços!$C$3)</f>
        <v>6.1798000000000002</v>
      </c>
    </row>
    <row r="929" spans="5:6" x14ac:dyDescent="0.25">
      <c r="E929" s="147">
        <f t="shared" si="13"/>
        <v>1</v>
      </c>
      <c r="F929" s="155" cm="1">
        <f t="array" aca="1" ref="F929" ca="1">IFERROR(_xlfn.STOCKHISTORY("USD/BRL",E929,E929,0,0,1),Preços!$C$3)</f>
        <v>6.1798000000000002</v>
      </c>
    </row>
    <row r="930" spans="5:6" x14ac:dyDescent="0.25">
      <c r="E930" s="147">
        <f t="shared" si="13"/>
        <v>1</v>
      </c>
      <c r="F930" s="155" cm="1">
        <f t="array" aca="1" ref="F930" ca="1">IFERROR(_xlfn.STOCKHISTORY("USD/BRL",E930,E930,0,0,1),Preços!$C$3)</f>
        <v>6.1798000000000002</v>
      </c>
    </row>
    <row r="931" spans="5:6" x14ac:dyDescent="0.25">
      <c r="E931" s="147">
        <f t="shared" si="13"/>
        <v>1</v>
      </c>
      <c r="F931" s="155" cm="1">
        <f t="array" aca="1" ref="F931" ca="1">IFERROR(_xlfn.STOCKHISTORY("USD/BRL",E931,E931,0,0,1),Preços!$C$3)</f>
        <v>6.1798000000000002</v>
      </c>
    </row>
    <row r="932" spans="5:6" x14ac:dyDescent="0.25">
      <c r="E932" s="147">
        <f t="shared" si="13"/>
        <v>1</v>
      </c>
      <c r="F932" s="155" cm="1">
        <f t="array" aca="1" ref="F932" ca="1">IFERROR(_xlfn.STOCKHISTORY("USD/BRL",E932,E932,0,0,1),Preços!$C$3)</f>
        <v>6.1798000000000002</v>
      </c>
    </row>
    <row r="933" spans="5:6" x14ac:dyDescent="0.25">
      <c r="E933" s="147">
        <f t="shared" si="13"/>
        <v>1</v>
      </c>
      <c r="F933" s="155" cm="1">
        <f t="array" aca="1" ref="F933" ca="1">IFERROR(_xlfn.STOCKHISTORY("USD/BRL",E933,E933,0,0,1),Preços!$C$3)</f>
        <v>6.1798000000000002</v>
      </c>
    </row>
    <row r="934" spans="5:6" x14ac:dyDescent="0.25">
      <c r="E934" s="147">
        <f t="shared" si="13"/>
        <v>1</v>
      </c>
      <c r="F934" s="155" cm="1">
        <f t="array" aca="1" ref="F934" ca="1">IFERROR(_xlfn.STOCKHISTORY("USD/BRL",E934,E934,0,0,1),Preços!$C$3)</f>
        <v>6.1798000000000002</v>
      </c>
    </row>
    <row r="935" spans="5:6" x14ac:dyDescent="0.25">
      <c r="E935" s="147">
        <f t="shared" si="13"/>
        <v>1</v>
      </c>
      <c r="F935" s="155" cm="1">
        <f t="array" aca="1" ref="F935" ca="1">IFERROR(_xlfn.STOCKHISTORY("USD/BRL",E935,E935,0,0,1),Preços!$C$3)</f>
        <v>6.1798000000000002</v>
      </c>
    </row>
    <row r="936" spans="5:6" x14ac:dyDescent="0.25">
      <c r="E936" s="147">
        <f t="shared" si="13"/>
        <v>1</v>
      </c>
      <c r="F936" s="155" cm="1">
        <f t="array" aca="1" ref="F936" ca="1">IFERROR(_xlfn.STOCKHISTORY("USD/BRL",E936,E936,0,0,1),Preços!$C$3)</f>
        <v>6.1798000000000002</v>
      </c>
    </row>
    <row r="937" spans="5:6" x14ac:dyDescent="0.25">
      <c r="E937" s="147">
        <f t="shared" si="13"/>
        <v>1</v>
      </c>
      <c r="F937" s="155" cm="1">
        <f t="array" aca="1" ref="F937" ca="1">IFERROR(_xlfn.STOCKHISTORY("USD/BRL",E937,E937,0,0,1),Preços!$C$3)</f>
        <v>6.1798000000000002</v>
      </c>
    </row>
    <row r="938" spans="5:6" x14ac:dyDescent="0.25">
      <c r="E938" s="147">
        <f t="shared" si="13"/>
        <v>1</v>
      </c>
      <c r="F938" s="155" cm="1">
        <f t="array" aca="1" ref="F938" ca="1">IFERROR(_xlfn.STOCKHISTORY("USD/BRL",E938,E938,0,0,1),Preços!$C$3)</f>
        <v>6.1798000000000002</v>
      </c>
    </row>
    <row r="939" spans="5:6" x14ac:dyDescent="0.25">
      <c r="E939" s="147">
        <f t="shared" si="13"/>
        <v>1</v>
      </c>
      <c r="F939" s="155" cm="1">
        <f t="array" aca="1" ref="F939" ca="1">IFERROR(_xlfn.STOCKHISTORY("USD/BRL",E939,E939,0,0,1),Preços!$C$3)</f>
        <v>6.1798000000000002</v>
      </c>
    </row>
    <row r="940" spans="5:6" x14ac:dyDescent="0.25">
      <c r="E940" s="147">
        <f t="shared" si="13"/>
        <v>1</v>
      </c>
      <c r="F940" s="155" cm="1">
        <f t="array" aca="1" ref="F940" ca="1">IFERROR(_xlfn.STOCKHISTORY("USD/BRL",E940,E940,0,0,1),Preços!$C$3)</f>
        <v>6.1798000000000002</v>
      </c>
    </row>
    <row r="941" spans="5:6" x14ac:dyDescent="0.25">
      <c r="E941" s="147">
        <f t="shared" si="13"/>
        <v>1</v>
      </c>
      <c r="F941" s="155" cm="1">
        <f t="array" aca="1" ref="F941" ca="1">IFERROR(_xlfn.STOCKHISTORY("USD/BRL",E941,E941,0,0,1),Preços!$C$3)</f>
        <v>6.1798000000000002</v>
      </c>
    </row>
    <row r="942" spans="5:6" x14ac:dyDescent="0.25">
      <c r="E942" s="147">
        <f t="shared" si="13"/>
        <v>1</v>
      </c>
      <c r="F942" s="155" cm="1">
        <f t="array" aca="1" ref="F942" ca="1">IFERROR(_xlfn.STOCKHISTORY("USD/BRL",E942,E942,0,0,1),Preços!$C$3)</f>
        <v>6.1798000000000002</v>
      </c>
    </row>
    <row r="943" spans="5:6" x14ac:dyDescent="0.25">
      <c r="E943" s="147">
        <f t="shared" si="13"/>
        <v>1</v>
      </c>
      <c r="F943" s="155" cm="1">
        <f t="array" aca="1" ref="F943" ca="1">IFERROR(_xlfn.STOCKHISTORY("USD/BRL",E943,E943,0,0,1),Preços!$C$3)</f>
        <v>6.1798000000000002</v>
      </c>
    </row>
    <row r="944" spans="5:6" x14ac:dyDescent="0.25">
      <c r="E944" s="147">
        <f t="shared" si="13"/>
        <v>1</v>
      </c>
      <c r="F944" s="155" cm="1">
        <f t="array" aca="1" ref="F944" ca="1">IFERROR(_xlfn.STOCKHISTORY("USD/BRL",E944,E944,0,0,1),Preços!$C$3)</f>
        <v>6.1798000000000002</v>
      </c>
    </row>
    <row r="945" spans="5:6" x14ac:dyDescent="0.25">
      <c r="E945" s="147">
        <f t="shared" si="13"/>
        <v>1</v>
      </c>
      <c r="F945" s="155" cm="1">
        <f t="array" aca="1" ref="F945" ca="1">IFERROR(_xlfn.STOCKHISTORY("USD/BRL",E945,E945,0,0,1),Preços!$C$3)</f>
        <v>6.1798000000000002</v>
      </c>
    </row>
    <row r="946" spans="5:6" x14ac:dyDescent="0.25">
      <c r="E946" s="147">
        <f t="shared" si="13"/>
        <v>1</v>
      </c>
      <c r="F946" s="155" cm="1">
        <f t="array" aca="1" ref="F946" ca="1">IFERROR(_xlfn.STOCKHISTORY("USD/BRL",E946,E946,0,0,1),Preços!$C$3)</f>
        <v>6.1798000000000002</v>
      </c>
    </row>
    <row r="947" spans="5:6" x14ac:dyDescent="0.25">
      <c r="E947" s="147">
        <f t="shared" si="13"/>
        <v>1</v>
      </c>
      <c r="F947" s="155" cm="1">
        <f t="array" aca="1" ref="F947" ca="1">IFERROR(_xlfn.STOCKHISTORY("USD/BRL",E947,E947,0,0,1),Preços!$C$3)</f>
        <v>6.1798000000000002</v>
      </c>
    </row>
    <row r="948" spans="5:6" x14ac:dyDescent="0.25">
      <c r="E948" s="147">
        <f t="shared" si="13"/>
        <v>1</v>
      </c>
      <c r="F948" s="155" cm="1">
        <f t="array" aca="1" ref="F948" ca="1">IFERROR(_xlfn.STOCKHISTORY("USD/BRL",E948,E948,0,0,1),Preços!$C$3)</f>
        <v>6.1798000000000002</v>
      </c>
    </row>
    <row r="949" spans="5:6" x14ac:dyDescent="0.25">
      <c r="E949" s="147">
        <f t="shared" si="13"/>
        <v>1</v>
      </c>
      <c r="F949" s="155" cm="1">
        <f t="array" aca="1" ref="F949" ca="1">IFERROR(_xlfn.STOCKHISTORY("USD/BRL",E949,E949,0,0,1),Preços!$C$3)</f>
        <v>6.1798000000000002</v>
      </c>
    </row>
    <row r="950" spans="5:6" x14ac:dyDescent="0.25">
      <c r="E950" s="147">
        <f t="shared" si="13"/>
        <v>1</v>
      </c>
      <c r="F950" s="155" cm="1">
        <f t="array" aca="1" ref="F950" ca="1">IFERROR(_xlfn.STOCKHISTORY("USD/BRL",E950,E950,0,0,1),Preços!$C$3)</f>
        <v>6.1798000000000002</v>
      </c>
    </row>
    <row r="951" spans="5:6" x14ac:dyDescent="0.25">
      <c r="E951" s="147">
        <f t="shared" si="13"/>
        <v>1</v>
      </c>
      <c r="F951" s="155" cm="1">
        <f t="array" aca="1" ref="F951" ca="1">IFERROR(_xlfn.STOCKHISTORY("USD/BRL",E951,E951,0,0,1),Preços!$C$3)</f>
        <v>6.1798000000000002</v>
      </c>
    </row>
    <row r="952" spans="5:6" x14ac:dyDescent="0.25">
      <c r="E952" s="147">
        <f t="shared" si="13"/>
        <v>1</v>
      </c>
      <c r="F952" s="155" cm="1">
        <f t="array" aca="1" ref="F952" ca="1">IFERROR(_xlfn.STOCKHISTORY("USD/BRL",E952,E952,0,0,1),Preços!$C$3)</f>
        <v>6.1798000000000002</v>
      </c>
    </row>
    <row r="953" spans="5:6" x14ac:dyDescent="0.25">
      <c r="E953" s="147">
        <f t="shared" si="13"/>
        <v>1</v>
      </c>
      <c r="F953" s="155" cm="1">
        <f t="array" aca="1" ref="F953" ca="1">IFERROR(_xlfn.STOCKHISTORY("USD/BRL",E953,E953,0,0,1),Preços!$C$3)</f>
        <v>6.1798000000000002</v>
      </c>
    </row>
    <row r="954" spans="5:6" x14ac:dyDescent="0.25">
      <c r="E954" s="147">
        <f t="shared" si="13"/>
        <v>1</v>
      </c>
      <c r="F954" s="155" cm="1">
        <f t="array" aca="1" ref="F954" ca="1">IFERROR(_xlfn.STOCKHISTORY("USD/BRL",E954,E954,0,0,1),Preços!$C$3)</f>
        <v>6.1798000000000002</v>
      </c>
    </row>
    <row r="955" spans="5:6" x14ac:dyDescent="0.25">
      <c r="E955" s="147">
        <f t="shared" si="13"/>
        <v>1</v>
      </c>
      <c r="F955" s="155" cm="1">
        <f t="array" aca="1" ref="F955" ca="1">IFERROR(_xlfn.STOCKHISTORY("USD/BRL",E955,E955,0,0,1),Preços!$C$3)</f>
        <v>6.1798000000000002</v>
      </c>
    </row>
    <row r="956" spans="5:6" x14ac:dyDescent="0.25">
      <c r="E956" s="147">
        <f t="shared" si="13"/>
        <v>1</v>
      </c>
      <c r="F956" s="155" cm="1">
        <f t="array" aca="1" ref="F956" ca="1">IFERROR(_xlfn.STOCKHISTORY("USD/BRL",E956,E956,0,0,1),Preços!$C$3)</f>
        <v>6.1798000000000002</v>
      </c>
    </row>
    <row r="957" spans="5:6" x14ac:dyDescent="0.25">
      <c r="E957" s="147">
        <f t="shared" si="13"/>
        <v>1</v>
      </c>
      <c r="F957" s="155" cm="1">
        <f t="array" aca="1" ref="F957" ca="1">IFERROR(_xlfn.STOCKHISTORY("USD/BRL",E957,E957,0,0,1),Preços!$C$3)</f>
        <v>6.1798000000000002</v>
      </c>
    </row>
    <row r="958" spans="5:6" x14ac:dyDescent="0.25">
      <c r="E958" s="147">
        <f t="shared" si="13"/>
        <v>1</v>
      </c>
      <c r="F958" s="155" cm="1">
        <f t="array" aca="1" ref="F958" ca="1">IFERROR(_xlfn.STOCKHISTORY("USD/BRL",E958,E958,0,0,1),Preços!$C$3)</f>
        <v>6.1798000000000002</v>
      </c>
    </row>
    <row r="959" spans="5:6" x14ac:dyDescent="0.25">
      <c r="E959" s="147">
        <f t="shared" si="13"/>
        <v>1</v>
      </c>
      <c r="F959" s="155" cm="1">
        <f t="array" aca="1" ref="F959" ca="1">IFERROR(_xlfn.STOCKHISTORY("USD/BRL",E959,E959,0,0,1),Preços!$C$3)</f>
        <v>6.1798000000000002</v>
      </c>
    </row>
    <row r="960" spans="5:6" x14ac:dyDescent="0.25">
      <c r="E960" s="147">
        <f t="shared" si="13"/>
        <v>1</v>
      </c>
      <c r="F960" s="155" cm="1">
        <f t="array" aca="1" ref="F960" ca="1">IFERROR(_xlfn.STOCKHISTORY("USD/BRL",E960,E960,0,0,1),Preços!$C$3)</f>
        <v>6.1798000000000002</v>
      </c>
    </row>
    <row r="961" spans="5:6" x14ac:dyDescent="0.25">
      <c r="E961" s="147">
        <f t="shared" si="13"/>
        <v>1</v>
      </c>
      <c r="F961" s="155" cm="1">
        <f t="array" aca="1" ref="F961" ca="1">IFERROR(_xlfn.STOCKHISTORY("USD/BRL",E961,E961,0,0,1),Preços!$C$3)</f>
        <v>6.1798000000000002</v>
      </c>
    </row>
    <row r="962" spans="5:6" x14ac:dyDescent="0.25">
      <c r="E962" s="147">
        <f t="shared" si="13"/>
        <v>1</v>
      </c>
      <c r="F962" s="155" cm="1">
        <f t="array" aca="1" ref="F962" ca="1">IFERROR(_xlfn.STOCKHISTORY("USD/BRL",E962,E962,0,0,1),Preços!$C$3)</f>
        <v>6.1798000000000002</v>
      </c>
    </row>
    <row r="963" spans="5:6" x14ac:dyDescent="0.25">
      <c r="E963" s="147">
        <f t="shared" si="13"/>
        <v>1</v>
      </c>
      <c r="F963" s="155" cm="1">
        <f t="array" aca="1" ref="F963" ca="1">IFERROR(_xlfn.STOCKHISTORY("USD/BRL",E963,E963,0,0,1),Preços!$C$3)</f>
        <v>6.1798000000000002</v>
      </c>
    </row>
    <row r="964" spans="5:6" x14ac:dyDescent="0.25">
      <c r="E964" s="147">
        <f t="shared" ref="E964:E1027" si="14">DATE(YEAR(D870),MONTH(D870),1)</f>
        <v>1</v>
      </c>
      <c r="F964" s="155" cm="1">
        <f t="array" aca="1" ref="F964" ca="1">IFERROR(_xlfn.STOCKHISTORY("USD/BRL",E964,E964,0,0,1),Preços!$C$3)</f>
        <v>6.1798000000000002</v>
      </c>
    </row>
    <row r="965" spans="5:6" x14ac:dyDescent="0.25">
      <c r="E965" s="147">
        <f t="shared" si="14"/>
        <v>1</v>
      </c>
      <c r="F965" s="155" cm="1">
        <f t="array" aca="1" ref="F965" ca="1">IFERROR(_xlfn.STOCKHISTORY("USD/BRL",E965,E965,0,0,1),Preços!$C$3)</f>
        <v>6.1798000000000002</v>
      </c>
    </row>
    <row r="966" spans="5:6" x14ac:dyDescent="0.25">
      <c r="E966" s="147">
        <f t="shared" si="14"/>
        <v>1</v>
      </c>
      <c r="F966" s="155" cm="1">
        <f t="array" aca="1" ref="F966" ca="1">IFERROR(_xlfn.STOCKHISTORY("USD/BRL",E966,E966,0,0,1),Preços!$C$3)</f>
        <v>6.1798000000000002</v>
      </c>
    </row>
    <row r="967" spans="5:6" x14ac:dyDescent="0.25">
      <c r="E967" s="147">
        <f t="shared" si="14"/>
        <v>1</v>
      </c>
      <c r="F967" s="155" cm="1">
        <f t="array" aca="1" ref="F967" ca="1">IFERROR(_xlfn.STOCKHISTORY("USD/BRL",E967,E967,0,0,1),Preços!$C$3)</f>
        <v>6.1798000000000002</v>
      </c>
    </row>
    <row r="968" spans="5:6" x14ac:dyDescent="0.25">
      <c r="E968" s="147">
        <f t="shared" si="14"/>
        <v>1</v>
      </c>
      <c r="F968" s="155" cm="1">
        <f t="array" aca="1" ref="F968" ca="1">IFERROR(_xlfn.STOCKHISTORY("USD/BRL",E968,E968,0,0,1),Preços!$C$3)</f>
        <v>6.1798000000000002</v>
      </c>
    </row>
    <row r="969" spans="5:6" x14ac:dyDescent="0.25">
      <c r="E969" s="147">
        <f t="shared" si="14"/>
        <v>1</v>
      </c>
      <c r="F969" s="155" cm="1">
        <f t="array" aca="1" ref="F969" ca="1">IFERROR(_xlfn.STOCKHISTORY("USD/BRL",E969,E969,0,0,1),Preços!$C$3)</f>
        <v>6.1798000000000002</v>
      </c>
    </row>
    <row r="970" spans="5:6" x14ac:dyDescent="0.25">
      <c r="E970" s="147">
        <f t="shared" si="14"/>
        <v>1</v>
      </c>
      <c r="F970" s="155" cm="1">
        <f t="array" aca="1" ref="F970" ca="1">IFERROR(_xlfn.STOCKHISTORY("USD/BRL",E970,E970,0,0,1),Preços!$C$3)</f>
        <v>6.1798000000000002</v>
      </c>
    </row>
    <row r="971" spans="5:6" x14ac:dyDescent="0.25">
      <c r="E971" s="147">
        <f t="shared" si="14"/>
        <v>1</v>
      </c>
      <c r="F971" s="155" cm="1">
        <f t="array" aca="1" ref="F971" ca="1">IFERROR(_xlfn.STOCKHISTORY("USD/BRL",E971,E971,0,0,1),Preços!$C$3)</f>
        <v>6.1798000000000002</v>
      </c>
    </row>
    <row r="972" spans="5:6" x14ac:dyDescent="0.25">
      <c r="E972" s="147">
        <f t="shared" si="14"/>
        <v>1</v>
      </c>
      <c r="F972" s="155" cm="1">
        <f t="array" aca="1" ref="F972" ca="1">IFERROR(_xlfn.STOCKHISTORY("USD/BRL",E972,E972,0,0,1),Preços!$C$3)</f>
        <v>6.1798000000000002</v>
      </c>
    </row>
    <row r="973" spans="5:6" x14ac:dyDescent="0.25">
      <c r="E973" s="147">
        <f t="shared" si="14"/>
        <v>1</v>
      </c>
      <c r="F973" s="155" cm="1">
        <f t="array" aca="1" ref="F973" ca="1">IFERROR(_xlfn.STOCKHISTORY("USD/BRL",E973,E973,0,0,1),Preços!$C$3)</f>
        <v>6.1798000000000002</v>
      </c>
    </row>
    <row r="974" spans="5:6" x14ac:dyDescent="0.25">
      <c r="E974" s="147">
        <f t="shared" si="14"/>
        <v>1</v>
      </c>
      <c r="F974" s="155" cm="1">
        <f t="array" aca="1" ref="F974" ca="1">IFERROR(_xlfn.STOCKHISTORY("USD/BRL",E974,E974,0,0,1),Preços!$C$3)</f>
        <v>6.1798000000000002</v>
      </c>
    </row>
    <row r="975" spans="5:6" x14ac:dyDescent="0.25">
      <c r="E975" s="147">
        <f t="shared" si="14"/>
        <v>1</v>
      </c>
      <c r="F975" s="155" cm="1">
        <f t="array" aca="1" ref="F975" ca="1">IFERROR(_xlfn.STOCKHISTORY("USD/BRL",E975,E975,0,0,1),Preços!$C$3)</f>
        <v>6.1798000000000002</v>
      </c>
    </row>
    <row r="976" spans="5:6" x14ac:dyDescent="0.25">
      <c r="E976" s="147">
        <f t="shared" si="14"/>
        <v>1</v>
      </c>
      <c r="F976" s="155" cm="1">
        <f t="array" aca="1" ref="F976" ca="1">IFERROR(_xlfn.STOCKHISTORY("USD/BRL",E976,E976,0,0,1),Preços!$C$3)</f>
        <v>6.1798000000000002</v>
      </c>
    </row>
    <row r="977" spans="5:6" x14ac:dyDescent="0.25">
      <c r="E977" s="147">
        <f t="shared" si="14"/>
        <v>1</v>
      </c>
      <c r="F977" s="155" cm="1">
        <f t="array" aca="1" ref="F977" ca="1">IFERROR(_xlfn.STOCKHISTORY("USD/BRL",E977,E977,0,0,1),Preços!$C$3)</f>
        <v>6.1798000000000002</v>
      </c>
    </row>
    <row r="978" spans="5:6" x14ac:dyDescent="0.25">
      <c r="E978" s="147">
        <f t="shared" si="14"/>
        <v>1</v>
      </c>
      <c r="F978" s="155" cm="1">
        <f t="array" aca="1" ref="F978" ca="1">IFERROR(_xlfn.STOCKHISTORY("USD/BRL",E978,E978,0,0,1),Preços!$C$3)</f>
        <v>6.1798000000000002</v>
      </c>
    </row>
    <row r="979" spans="5:6" x14ac:dyDescent="0.25">
      <c r="E979" s="147">
        <f t="shared" si="14"/>
        <v>1</v>
      </c>
      <c r="F979" s="155" cm="1">
        <f t="array" aca="1" ref="F979" ca="1">IFERROR(_xlfn.STOCKHISTORY("USD/BRL",E979,E979,0,0,1),Preços!$C$3)</f>
        <v>6.1798000000000002</v>
      </c>
    </row>
    <row r="980" spans="5:6" x14ac:dyDescent="0.25">
      <c r="E980" s="147">
        <f t="shared" si="14"/>
        <v>1</v>
      </c>
      <c r="F980" s="155" cm="1">
        <f t="array" aca="1" ref="F980" ca="1">IFERROR(_xlfn.STOCKHISTORY("USD/BRL",E980,E980,0,0,1),Preços!$C$3)</f>
        <v>6.1798000000000002</v>
      </c>
    </row>
    <row r="981" spans="5:6" x14ac:dyDescent="0.25">
      <c r="E981" s="147">
        <f t="shared" si="14"/>
        <v>1</v>
      </c>
      <c r="F981" s="155" cm="1">
        <f t="array" aca="1" ref="F981" ca="1">IFERROR(_xlfn.STOCKHISTORY("USD/BRL",E981,E981,0,0,1),Preços!$C$3)</f>
        <v>6.1798000000000002</v>
      </c>
    </row>
    <row r="982" spans="5:6" x14ac:dyDescent="0.25">
      <c r="E982" s="147">
        <f t="shared" si="14"/>
        <v>1</v>
      </c>
      <c r="F982" s="155" cm="1">
        <f t="array" aca="1" ref="F982" ca="1">IFERROR(_xlfn.STOCKHISTORY("USD/BRL",E982,E982,0,0,1),Preços!$C$3)</f>
        <v>6.1798000000000002</v>
      </c>
    </row>
    <row r="983" spans="5:6" x14ac:dyDescent="0.25">
      <c r="E983" s="147">
        <f t="shared" si="14"/>
        <v>1</v>
      </c>
      <c r="F983" s="155" cm="1">
        <f t="array" aca="1" ref="F983" ca="1">IFERROR(_xlfn.STOCKHISTORY("USD/BRL",E983,E983,0,0,1),Preços!$C$3)</f>
        <v>6.1798000000000002</v>
      </c>
    </row>
    <row r="984" spans="5:6" x14ac:dyDescent="0.25">
      <c r="E984" s="147">
        <f t="shared" si="14"/>
        <v>1</v>
      </c>
      <c r="F984" s="155" cm="1">
        <f t="array" aca="1" ref="F984" ca="1">IFERROR(_xlfn.STOCKHISTORY("USD/BRL",E984,E984,0,0,1),Preços!$C$3)</f>
        <v>6.1798000000000002</v>
      </c>
    </row>
    <row r="985" spans="5:6" x14ac:dyDescent="0.25">
      <c r="E985" s="147">
        <f t="shared" si="14"/>
        <v>1</v>
      </c>
      <c r="F985" s="155" cm="1">
        <f t="array" aca="1" ref="F985" ca="1">IFERROR(_xlfn.STOCKHISTORY("USD/BRL",E985,E985,0,0,1),Preços!$C$3)</f>
        <v>6.1798000000000002</v>
      </c>
    </row>
    <row r="986" spans="5:6" x14ac:dyDescent="0.25">
      <c r="E986" s="147">
        <f t="shared" si="14"/>
        <v>1</v>
      </c>
      <c r="F986" s="155" cm="1">
        <f t="array" aca="1" ref="F986" ca="1">IFERROR(_xlfn.STOCKHISTORY("USD/BRL",E986,E986,0,0,1),Preços!$C$3)</f>
        <v>6.1798000000000002</v>
      </c>
    </row>
    <row r="987" spans="5:6" x14ac:dyDescent="0.25">
      <c r="E987" s="147">
        <f t="shared" si="14"/>
        <v>1</v>
      </c>
      <c r="F987" s="155" cm="1">
        <f t="array" aca="1" ref="F987" ca="1">IFERROR(_xlfn.STOCKHISTORY("USD/BRL",E987,E987,0,0,1),Preços!$C$3)</f>
        <v>6.1798000000000002</v>
      </c>
    </row>
    <row r="988" spans="5:6" x14ac:dyDescent="0.25">
      <c r="E988" s="147">
        <f t="shared" si="14"/>
        <v>1</v>
      </c>
      <c r="F988" s="155" cm="1">
        <f t="array" aca="1" ref="F988" ca="1">IFERROR(_xlfn.STOCKHISTORY("USD/BRL",E988,E988,0,0,1),Preços!$C$3)</f>
        <v>6.1798000000000002</v>
      </c>
    </row>
    <row r="989" spans="5:6" x14ac:dyDescent="0.25">
      <c r="E989" s="147">
        <f t="shared" si="14"/>
        <v>1</v>
      </c>
      <c r="F989" s="155" cm="1">
        <f t="array" aca="1" ref="F989" ca="1">IFERROR(_xlfn.STOCKHISTORY("USD/BRL",E989,E989,0,0,1),Preços!$C$3)</f>
        <v>6.1798000000000002</v>
      </c>
    </row>
    <row r="990" spans="5:6" x14ac:dyDescent="0.25">
      <c r="E990" s="147">
        <f t="shared" si="14"/>
        <v>1</v>
      </c>
      <c r="F990" s="155" cm="1">
        <f t="array" aca="1" ref="F990" ca="1">IFERROR(_xlfn.STOCKHISTORY("USD/BRL",E990,E990,0,0,1),Preços!$C$3)</f>
        <v>6.1798000000000002</v>
      </c>
    </row>
    <row r="991" spans="5:6" x14ac:dyDescent="0.25">
      <c r="E991" s="147">
        <f t="shared" si="14"/>
        <v>1</v>
      </c>
      <c r="F991" s="155" cm="1">
        <f t="array" aca="1" ref="F991" ca="1">IFERROR(_xlfn.STOCKHISTORY("USD/BRL",E991,E991,0,0,1),Preços!$C$3)</f>
        <v>6.1798000000000002</v>
      </c>
    </row>
    <row r="992" spans="5:6" x14ac:dyDescent="0.25">
      <c r="E992" s="147">
        <f t="shared" si="14"/>
        <v>1</v>
      </c>
      <c r="F992" s="155" cm="1">
        <f t="array" aca="1" ref="F992" ca="1">IFERROR(_xlfn.STOCKHISTORY("USD/BRL",E992,E992,0,0,1),Preços!$C$3)</f>
        <v>6.1798000000000002</v>
      </c>
    </row>
    <row r="993" spans="5:6" x14ac:dyDescent="0.25">
      <c r="E993" s="147">
        <f t="shared" si="14"/>
        <v>1</v>
      </c>
      <c r="F993" s="155" cm="1">
        <f t="array" aca="1" ref="F993" ca="1">IFERROR(_xlfn.STOCKHISTORY("USD/BRL",E993,E993,0,0,1),Preços!$C$3)</f>
        <v>6.1798000000000002</v>
      </c>
    </row>
    <row r="994" spans="5:6" x14ac:dyDescent="0.25">
      <c r="E994" s="147">
        <f t="shared" si="14"/>
        <v>1</v>
      </c>
      <c r="F994" s="155" cm="1">
        <f t="array" aca="1" ref="F994" ca="1">IFERROR(_xlfn.STOCKHISTORY("USD/BRL",E994,E994,0,0,1),Preços!$C$3)</f>
        <v>6.1798000000000002</v>
      </c>
    </row>
    <row r="995" spans="5:6" x14ac:dyDescent="0.25">
      <c r="E995" s="147">
        <f t="shared" si="14"/>
        <v>1</v>
      </c>
      <c r="F995" s="155" cm="1">
        <f t="array" aca="1" ref="F995" ca="1">IFERROR(_xlfn.STOCKHISTORY("USD/BRL",E995,E995,0,0,1),Preços!$C$3)</f>
        <v>6.1798000000000002</v>
      </c>
    </row>
    <row r="996" spans="5:6" x14ac:dyDescent="0.25">
      <c r="E996" s="147">
        <f t="shared" si="14"/>
        <v>1</v>
      </c>
      <c r="F996" s="155" cm="1">
        <f t="array" aca="1" ref="F996" ca="1">IFERROR(_xlfn.STOCKHISTORY("USD/BRL",E996,E996,0,0,1),Preços!$C$3)</f>
        <v>6.1798000000000002</v>
      </c>
    </row>
    <row r="997" spans="5:6" x14ac:dyDescent="0.25">
      <c r="E997" s="147">
        <f t="shared" si="14"/>
        <v>1</v>
      </c>
      <c r="F997" s="155" cm="1">
        <f t="array" aca="1" ref="F997" ca="1">IFERROR(_xlfn.STOCKHISTORY("USD/BRL",E997,E997,0,0,1),Preços!$C$3)</f>
        <v>6.1798000000000002</v>
      </c>
    </row>
    <row r="998" spans="5:6" x14ac:dyDescent="0.25">
      <c r="E998" s="147">
        <f t="shared" si="14"/>
        <v>1</v>
      </c>
      <c r="F998" s="155" cm="1">
        <f t="array" aca="1" ref="F998" ca="1">IFERROR(_xlfn.STOCKHISTORY("USD/BRL",E998,E998,0,0,1),Preços!$C$3)</f>
        <v>6.1798000000000002</v>
      </c>
    </row>
    <row r="999" spans="5:6" x14ac:dyDescent="0.25">
      <c r="E999" s="147">
        <f t="shared" si="14"/>
        <v>1</v>
      </c>
      <c r="F999" s="155" cm="1">
        <f t="array" aca="1" ref="F999" ca="1">IFERROR(_xlfn.STOCKHISTORY("USD/BRL",E999,E999,0,0,1),Preços!$C$3)</f>
        <v>6.1798000000000002</v>
      </c>
    </row>
    <row r="1000" spans="5:6" x14ac:dyDescent="0.25">
      <c r="E1000" s="147">
        <f t="shared" si="14"/>
        <v>1</v>
      </c>
      <c r="F1000" s="155" cm="1">
        <f t="array" aca="1" ref="F1000" ca="1">IFERROR(_xlfn.STOCKHISTORY("USD/BRL",E1000,E1000,0,0,1),Preços!$C$3)</f>
        <v>6.1798000000000002</v>
      </c>
    </row>
    <row r="1001" spans="5:6" x14ac:dyDescent="0.25">
      <c r="E1001" s="147">
        <f t="shared" si="14"/>
        <v>1</v>
      </c>
      <c r="F1001" s="155" cm="1">
        <f t="array" aca="1" ref="F1001" ca="1">IFERROR(_xlfn.STOCKHISTORY("USD/BRL",E1001,E1001,0,0,1),Preços!$C$3)</f>
        <v>6.1798000000000002</v>
      </c>
    </row>
    <row r="1002" spans="5:6" x14ac:dyDescent="0.25">
      <c r="E1002" s="147">
        <f t="shared" si="14"/>
        <v>1</v>
      </c>
      <c r="F1002" s="155" cm="1">
        <f t="array" aca="1" ref="F1002" ca="1">IFERROR(_xlfn.STOCKHISTORY("USD/BRL",E1002,E1002,0,0,1),Preços!$C$3)</f>
        <v>6.1798000000000002</v>
      </c>
    </row>
    <row r="1003" spans="5:6" x14ac:dyDescent="0.25">
      <c r="E1003" s="147">
        <f t="shared" si="14"/>
        <v>1</v>
      </c>
      <c r="F1003" s="155" cm="1">
        <f t="array" aca="1" ref="F1003" ca="1">IFERROR(_xlfn.STOCKHISTORY("USD/BRL",E1003,E1003,0,0,1),Preços!$C$3)</f>
        <v>6.1798000000000002</v>
      </c>
    </row>
    <row r="1004" spans="5:6" x14ac:dyDescent="0.25">
      <c r="E1004" s="147">
        <f t="shared" si="14"/>
        <v>1</v>
      </c>
      <c r="F1004" s="155" cm="1">
        <f t="array" aca="1" ref="F1004" ca="1">IFERROR(_xlfn.STOCKHISTORY("USD/BRL",E1004,E1004,0,0,1),Preços!$C$3)</f>
        <v>6.1798000000000002</v>
      </c>
    </row>
    <row r="1005" spans="5:6" x14ac:dyDescent="0.25">
      <c r="E1005" s="147">
        <f t="shared" si="14"/>
        <v>1</v>
      </c>
      <c r="F1005" s="155" cm="1">
        <f t="array" aca="1" ref="F1005" ca="1">IFERROR(_xlfn.STOCKHISTORY("USD/BRL",E1005,E1005,0,0,1),Preços!$C$3)</f>
        <v>6.1798000000000002</v>
      </c>
    </row>
    <row r="1006" spans="5:6" x14ac:dyDescent="0.25">
      <c r="E1006" s="147">
        <f t="shared" si="14"/>
        <v>1</v>
      </c>
      <c r="F1006" s="155" cm="1">
        <f t="array" aca="1" ref="F1006" ca="1">IFERROR(_xlfn.STOCKHISTORY("USD/BRL",E1006,E1006,0,0,1),Preços!$C$3)</f>
        <v>6.1798000000000002</v>
      </c>
    </row>
    <row r="1007" spans="5:6" x14ac:dyDescent="0.25">
      <c r="E1007" s="147">
        <f t="shared" si="14"/>
        <v>1</v>
      </c>
      <c r="F1007" s="155" cm="1">
        <f t="array" aca="1" ref="F1007" ca="1">IFERROR(_xlfn.STOCKHISTORY("USD/BRL",E1007,E1007,0,0,1),Preços!$C$3)</f>
        <v>6.1798000000000002</v>
      </c>
    </row>
    <row r="1008" spans="5:6" x14ac:dyDescent="0.25">
      <c r="E1008" s="147">
        <f t="shared" si="14"/>
        <v>1</v>
      </c>
      <c r="F1008" s="155" cm="1">
        <f t="array" aca="1" ref="F1008" ca="1">IFERROR(_xlfn.STOCKHISTORY("USD/BRL",E1008,E1008,0,0,1),Preços!$C$3)</f>
        <v>6.1798000000000002</v>
      </c>
    </row>
    <row r="1009" spans="5:6" x14ac:dyDescent="0.25">
      <c r="E1009" s="147">
        <f t="shared" si="14"/>
        <v>1</v>
      </c>
      <c r="F1009" s="155" cm="1">
        <f t="array" aca="1" ref="F1009" ca="1">IFERROR(_xlfn.STOCKHISTORY("USD/BRL",E1009,E1009,0,0,1),Preços!$C$3)</f>
        <v>6.1798000000000002</v>
      </c>
    </row>
    <row r="1010" spans="5:6" x14ac:dyDescent="0.25">
      <c r="E1010" s="147">
        <f t="shared" si="14"/>
        <v>1</v>
      </c>
      <c r="F1010" s="155" cm="1">
        <f t="array" aca="1" ref="F1010" ca="1">IFERROR(_xlfn.STOCKHISTORY("USD/BRL",E1010,E1010,0,0,1),Preços!$C$3)</f>
        <v>6.1798000000000002</v>
      </c>
    </row>
    <row r="1011" spans="5:6" x14ac:dyDescent="0.25">
      <c r="E1011" s="147">
        <f t="shared" si="14"/>
        <v>1</v>
      </c>
      <c r="F1011" s="155" cm="1">
        <f t="array" aca="1" ref="F1011" ca="1">IFERROR(_xlfn.STOCKHISTORY("USD/BRL",E1011,E1011,0,0,1),Preços!$C$3)</f>
        <v>6.1798000000000002</v>
      </c>
    </row>
    <row r="1012" spans="5:6" x14ac:dyDescent="0.25">
      <c r="E1012" s="147">
        <f t="shared" si="14"/>
        <v>1</v>
      </c>
      <c r="F1012" s="155" cm="1">
        <f t="array" aca="1" ref="F1012" ca="1">IFERROR(_xlfn.STOCKHISTORY("USD/BRL",E1012,E1012,0,0,1),Preços!$C$3)</f>
        <v>6.1798000000000002</v>
      </c>
    </row>
    <row r="1013" spans="5:6" x14ac:dyDescent="0.25">
      <c r="E1013" s="147">
        <f t="shared" si="14"/>
        <v>1</v>
      </c>
      <c r="F1013" s="155" cm="1">
        <f t="array" aca="1" ref="F1013" ca="1">IFERROR(_xlfn.STOCKHISTORY("USD/BRL",E1013,E1013,0,0,1),Preços!$C$3)</f>
        <v>6.1798000000000002</v>
      </c>
    </row>
    <row r="1014" spans="5:6" x14ac:dyDescent="0.25">
      <c r="E1014" s="147">
        <f t="shared" si="14"/>
        <v>1</v>
      </c>
      <c r="F1014" s="155" cm="1">
        <f t="array" aca="1" ref="F1014" ca="1">IFERROR(_xlfn.STOCKHISTORY("USD/BRL",E1014,E1014,0,0,1),Preços!$C$3)</f>
        <v>6.1798000000000002</v>
      </c>
    </row>
    <row r="1015" spans="5:6" x14ac:dyDescent="0.25">
      <c r="E1015" s="147">
        <f t="shared" si="14"/>
        <v>1</v>
      </c>
      <c r="F1015" s="155" cm="1">
        <f t="array" aca="1" ref="F1015" ca="1">IFERROR(_xlfn.STOCKHISTORY("USD/BRL",E1015,E1015,0,0,1),Preços!$C$3)</f>
        <v>6.1798000000000002</v>
      </c>
    </row>
    <row r="1016" spans="5:6" x14ac:dyDescent="0.25">
      <c r="E1016" s="147">
        <f t="shared" si="14"/>
        <v>1</v>
      </c>
      <c r="F1016" s="155" cm="1">
        <f t="array" aca="1" ref="F1016" ca="1">IFERROR(_xlfn.STOCKHISTORY("USD/BRL",E1016,E1016,0,0,1),Preços!$C$3)</f>
        <v>6.1798000000000002</v>
      </c>
    </row>
    <row r="1017" spans="5:6" x14ac:dyDescent="0.25">
      <c r="E1017" s="147">
        <f t="shared" si="14"/>
        <v>1</v>
      </c>
      <c r="F1017" s="155" cm="1">
        <f t="array" aca="1" ref="F1017" ca="1">IFERROR(_xlfn.STOCKHISTORY("USD/BRL",E1017,E1017,0,0,1),Preços!$C$3)</f>
        <v>6.1798000000000002</v>
      </c>
    </row>
    <row r="1018" spans="5:6" x14ac:dyDescent="0.25">
      <c r="E1018" s="147">
        <f t="shared" si="14"/>
        <v>1</v>
      </c>
      <c r="F1018" s="155" cm="1">
        <f t="array" aca="1" ref="F1018" ca="1">IFERROR(_xlfn.STOCKHISTORY("USD/BRL",E1018,E1018,0,0,1),Preços!$C$3)</f>
        <v>6.1798000000000002</v>
      </c>
    </row>
    <row r="1019" spans="5:6" x14ac:dyDescent="0.25">
      <c r="E1019" s="147">
        <f t="shared" si="14"/>
        <v>1</v>
      </c>
      <c r="F1019" s="155" cm="1">
        <f t="array" aca="1" ref="F1019" ca="1">IFERROR(_xlfn.STOCKHISTORY("USD/BRL",E1019,E1019,0,0,1),Preços!$C$3)</f>
        <v>6.1798000000000002</v>
      </c>
    </row>
    <row r="1020" spans="5:6" x14ac:dyDescent="0.25">
      <c r="E1020" s="147">
        <f t="shared" si="14"/>
        <v>1</v>
      </c>
      <c r="F1020" s="155" cm="1">
        <f t="array" aca="1" ref="F1020" ca="1">IFERROR(_xlfn.STOCKHISTORY("USD/BRL",E1020,E1020,0,0,1),Preços!$C$3)</f>
        <v>6.1798000000000002</v>
      </c>
    </row>
    <row r="1021" spans="5:6" x14ac:dyDescent="0.25">
      <c r="E1021" s="147">
        <f t="shared" si="14"/>
        <v>1</v>
      </c>
      <c r="F1021" s="155" cm="1">
        <f t="array" aca="1" ref="F1021" ca="1">IFERROR(_xlfn.STOCKHISTORY("USD/BRL",E1021,E1021,0,0,1),Preços!$C$3)</f>
        <v>6.1798000000000002</v>
      </c>
    </row>
    <row r="1022" spans="5:6" x14ac:dyDescent="0.25">
      <c r="E1022" s="147">
        <f t="shared" si="14"/>
        <v>1</v>
      </c>
      <c r="F1022" s="155" cm="1">
        <f t="array" aca="1" ref="F1022" ca="1">IFERROR(_xlfn.STOCKHISTORY("USD/BRL",E1022,E1022,0,0,1),Preços!$C$3)</f>
        <v>6.1798000000000002</v>
      </c>
    </row>
    <row r="1023" spans="5:6" x14ac:dyDescent="0.25">
      <c r="E1023" s="147">
        <f t="shared" si="14"/>
        <v>1</v>
      </c>
      <c r="F1023" s="155" cm="1">
        <f t="array" aca="1" ref="F1023" ca="1">IFERROR(_xlfn.STOCKHISTORY("USD/BRL",E1023,E1023,0,0,1),Preços!$C$3)</f>
        <v>6.1798000000000002</v>
      </c>
    </row>
    <row r="1024" spans="5:6" x14ac:dyDescent="0.25">
      <c r="E1024" s="147">
        <f t="shared" si="14"/>
        <v>1</v>
      </c>
      <c r="F1024" s="155" cm="1">
        <f t="array" aca="1" ref="F1024" ca="1">IFERROR(_xlfn.STOCKHISTORY("USD/BRL",E1024,E1024,0,0,1),Preços!$C$3)</f>
        <v>6.1798000000000002</v>
      </c>
    </row>
    <row r="1025" spans="5:6" x14ac:dyDescent="0.25">
      <c r="E1025" s="147">
        <f t="shared" si="14"/>
        <v>1</v>
      </c>
      <c r="F1025" s="155" cm="1">
        <f t="array" aca="1" ref="F1025" ca="1">IFERROR(_xlfn.STOCKHISTORY("USD/BRL",E1025,E1025,0,0,1),Preços!$C$3)</f>
        <v>6.1798000000000002</v>
      </c>
    </row>
    <row r="1026" spans="5:6" x14ac:dyDescent="0.25">
      <c r="E1026" s="147">
        <f t="shared" si="14"/>
        <v>1</v>
      </c>
      <c r="F1026" s="155" cm="1">
        <f t="array" aca="1" ref="F1026" ca="1">IFERROR(_xlfn.STOCKHISTORY("USD/BRL",E1026,E1026,0,0,1),Preços!$C$3)</f>
        <v>6.1798000000000002</v>
      </c>
    </row>
    <row r="1027" spans="5:6" x14ac:dyDescent="0.25">
      <c r="E1027" s="147">
        <f t="shared" si="14"/>
        <v>1</v>
      </c>
      <c r="F1027" s="155" cm="1">
        <f t="array" aca="1" ref="F1027" ca="1">IFERROR(_xlfn.STOCKHISTORY("USD/BRL",E1027,E1027,0,0,1),Preços!$C$3)</f>
        <v>6.1798000000000002</v>
      </c>
    </row>
    <row r="1028" spans="5:6" x14ac:dyDescent="0.25">
      <c r="E1028" s="147">
        <f t="shared" ref="E1028:E1091" si="15">DATE(YEAR(D934),MONTH(D934),1)</f>
        <v>1</v>
      </c>
      <c r="F1028" s="155" cm="1">
        <f t="array" aca="1" ref="F1028" ca="1">IFERROR(_xlfn.STOCKHISTORY("USD/BRL",E1028,E1028,0,0,1),Preços!$C$3)</f>
        <v>6.1798000000000002</v>
      </c>
    </row>
    <row r="1029" spans="5:6" x14ac:dyDescent="0.25">
      <c r="E1029" s="147">
        <f t="shared" si="15"/>
        <v>1</v>
      </c>
      <c r="F1029" s="155" cm="1">
        <f t="array" aca="1" ref="F1029" ca="1">IFERROR(_xlfn.STOCKHISTORY("USD/BRL",E1029,E1029,0,0,1),Preços!$C$3)</f>
        <v>6.1798000000000002</v>
      </c>
    </row>
    <row r="1030" spans="5:6" x14ac:dyDescent="0.25">
      <c r="E1030" s="147">
        <f t="shared" si="15"/>
        <v>1</v>
      </c>
      <c r="F1030" s="155" cm="1">
        <f t="array" aca="1" ref="F1030" ca="1">IFERROR(_xlfn.STOCKHISTORY("USD/BRL",E1030,E1030,0,0,1),Preços!$C$3)</f>
        <v>6.1798000000000002</v>
      </c>
    </row>
    <row r="1031" spans="5:6" x14ac:dyDescent="0.25">
      <c r="E1031" s="147">
        <f t="shared" si="15"/>
        <v>1</v>
      </c>
      <c r="F1031" s="155" cm="1">
        <f t="array" aca="1" ref="F1031" ca="1">IFERROR(_xlfn.STOCKHISTORY("USD/BRL",E1031,E1031,0,0,1),Preços!$C$3)</f>
        <v>6.1798000000000002</v>
      </c>
    </row>
    <row r="1032" spans="5:6" x14ac:dyDescent="0.25">
      <c r="E1032" s="147">
        <f t="shared" si="15"/>
        <v>1</v>
      </c>
      <c r="F1032" s="155" cm="1">
        <f t="array" aca="1" ref="F1032" ca="1">IFERROR(_xlfn.STOCKHISTORY("USD/BRL",E1032,E1032,0,0,1),Preços!$C$3)</f>
        <v>6.1798000000000002</v>
      </c>
    </row>
    <row r="1033" spans="5:6" x14ac:dyDescent="0.25">
      <c r="E1033" s="147">
        <f t="shared" si="15"/>
        <v>1</v>
      </c>
      <c r="F1033" s="155" cm="1">
        <f t="array" aca="1" ref="F1033" ca="1">IFERROR(_xlfn.STOCKHISTORY("USD/BRL",E1033,E1033,0,0,1),Preços!$C$3)</f>
        <v>6.1798000000000002</v>
      </c>
    </row>
    <row r="1034" spans="5:6" x14ac:dyDescent="0.25">
      <c r="E1034" s="147">
        <f t="shared" si="15"/>
        <v>1</v>
      </c>
      <c r="F1034" s="155" cm="1">
        <f t="array" aca="1" ref="F1034" ca="1">IFERROR(_xlfn.STOCKHISTORY("USD/BRL",E1034,E1034,0,0,1),Preços!$C$3)</f>
        <v>6.1798000000000002</v>
      </c>
    </row>
    <row r="1035" spans="5:6" x14ac:dyDescent="0.25">
      <c r="E1035" s="147">
        <f t="shared" si="15"/>
        <v>1</v>
      </c>
      <c r="F1035" s="155" cm="1">
        <f t="array" aca="1" ref="F1035" ca="1">IFERROR(_xlfn.STOCKHISTORY("USD/BRL",E1035,E1035,0,0,1),Preços!$C$3)</f>
        <v>6.1798000000000002</v>
      </c>
    </row>
    <row r="1036" spans="5:6" x14ac:dyDescent="0.25">
      <c r="E1036" s="147">
        <f t="shared" si="15"/>
        <v>1</v>
      </c>
      <c r="F1036" s="155" cm="1">
        <f t="array" aca="1" ref="F1036" ca="1">IFERROR(_xlfn.STOCKHISTORY("USD/BRL",E1036,E1036,0,0,1),Preços!$C$3)</f>
        <v>6.1798000000000002</v>
      </c>
    </row>
    <row r="1037" spans="5:6" x14ac:dyDescent="0.25">
      <c r="E1037" s="147">
        <f t="shared" si="15"/>
        <v>1</v>
      </c>
      <c r="F1037" s="155" cm="1">
        <f t="array" aca="1" ref="F1037" ca="1">IFERROR(_xlfn.STOCKHISTORY("USD/BRL",E1037,E1037,0,0,1),Preços!$C$3)</f>
        <v>6.1798000000000002</v>
      </c>
    </row>
    <row r="1038" spans="5:6" x14ac:dyDescent="0.25">
      <c r="E1038" s="147">
        <f t="shared" si="15"/>
        <v>1</v>
      </c>
      <c r="F1038" s="155" cm="1">
        <f t="array" aca="1" ref="F1038" ca="1">IFERROR(_xlfn.STOCKHISTORY("USD/BRL",E1038,E1038,0,0,1),Preços!$C$3)</f>
        <v>6.1798000000000002</v>
      </c>
    </row>
    <row r="1039" spans="5:6" x14ac:dyDescent="0.25">
      <c r="E1039" s="147">
        <f t="shared" si="15"/>
        <v>1</v>
      </c>
      <c r="F1039" s="155" cm="1">
        <f t="array" aca="1" ref="F1039" ca="1">IFERROR(_xlfn.STOCKHISTORY("USD/BRL",E1039,E1039,0,0,1),Preços!$C$3)</f>
        <v>6.1798000000000002</v>
      </c>
    </row>
    <row r="1040" spans="5:6" x14ac:dyDescent="0.25">
      <c r="E1040" s="147">
        <f t="shared" si="15"/>
        <v>1</v>
      </c>
      <c r="F1040" s="155" cm="1">
        <f t="array" aca="1" ref="F1040" ca="1">IFERROR(_xlfn.STOCKHISTORY("USD/BRL",E1040,E1040,0,0,1),Preços!$C$3)</f>
        <v>6.1798000000000002</v>
      </c>
    </row>
    <row r="1041" spans="5:6" x14ac:dyDescent="0.25">
      <c r="E1041" s="147">
        <f t="shared" si="15"/>
        <v>1</v>
      </c>
      <c r="F1041" s="155" cm="1">
        <f t="array" aca="1" ref="F1041" ca="1">IFERROR(_xlfn.STOCKHISTORY("USD/BRL",E1041,E1041,0,0,1),Preços!$C$3)</f>
        <v>6.1798000000000002</v>
      </c>
    </row>
    <row r="1042" spans="5:6" x14ac:dyDescent="0.25">
      <c r="E1042" s="147">
        <f t="shared" si="15"/>
        <v>1</v>
      </c>
      <c r="F1042" s="155" cm="1">
        <f t="array" aca="1" ref="F1042" ca="1">IFERROR(_xlfn.STOCKHISTORY("USD/BRL",E1042,E1042,0,0,1),Preços!$C$3)</f>
        <v>6.1798000000000002</v>
      </c>
    </row>
    <row r="1043" spans="5:6" x14ac:dyDescent="0.25">
      <c r="E1043" s="147">
        <f t="shared" si="15"/>
        <v>1</v>
      </c>
      <c r="F1043" s="155" cm="1">
        <f t="array" aca="1" ref="F1043" ca="1">IFERROR(_xlfn.STOCKHISTORY("USD/BRL",E1043,E1043,0,0,1),Preços!$C$3)</f>
        <v>6.1798000000000002</v>
      </c>
    </row>
    <row r="1044" spans="5:6" x14ac:dyDescent="0.25">
      <c r="E1044" s="147">
        <f t="shared" si="15"/>
        <v>1</v>
      </c>
      <c r="F1044" s="155" cm="1">
        <f t="array" aca="1" ref="F1044" ca="1">IFERROR(_xlfn.STOCKHISTORY("USD/BRL",E1044,E1044,0,0,1),Preços!$C$3)</f>
        <v>6.1798000000000002</v>
      </c>
    </row>
    <row r="1045" spans="5:6" x14ac:dyDescent="0.25">
      <c r="E1045" s="147">
        <f t="shared" si="15"/>
        <v>1</v>
      </c>
      <c r="F1045" s="155" cm="1">
        <f t="array" aca="1" ref="F1045" ca="1">IFERROR(_xlfn.STOCKHISTORY("USD/BRL",E1045,E1045,0,0,1),Preços!$C$3)</f>
        <v>6.1798000000000002</v>
      </c>
    </row>
    <row r="1046" spans="5:6" x14ac:dyDescent="0.25">
      <c r="E1046" s="147">
        <f t="shared" si="15"/>
        <v>1</v>
      </c>
      <c r="F1046" s="155" cm="1">
        <f t="array" aca="1" ref="F1046" ca="1">IFERROR(_xlfn.STOCKHISTORY("USD/BRL",E1046,E1046,0,0,1),Preços!$C$3)</f>
        <v>6.1798000000000002</v>
      </c>
    </row>
    <row r="1047" spans="5:6" x14ac:dyDescent="0.25">
      <c r="E1047" s="147">
        <f t="shared" si="15"/>
        <v>1</v>
      </c>
      <c r="F1047" s="155" cm="1">
        <f t="array" aca="1" ref="F1047" ca="1">IFERROR(_xlfn.STOCKHISTORY("USD/BRL",E1047,E1047,0,0,1),Preços!$C$3)</f>
        <v>6.1798000000000002</v>
      </c>
    </row>
    <row r="1048" spans="5:6" x14ac:dyDescent="0.25">
      <c r="E1048" s="147">
        <f t="shared" si="15"/>
        <v>1</v>
      </c>
      <c r="F1048" s="155" cm="1">
        <f t="array" aca="1" ref="F1048" ca="1">IFERROR(_xlfn.STOCKHISTORY("USD/BRL",E1048,E1048,0,0,1),Preços!$C$3)</f>
        <v>6.1798000000000002</v>
      </c>
    </row>
    <row r="1049" spans="5:6" x14ac:dyDescent="0.25">
      <c r="E1049" s="147">
        <f t="shared" si="15"/>
        <v>1</v>
      </c>
      <c r="F1049" s="155" cm="1">
        <f t="array" aca="1" ref="F1049" ca="1">IFERROR(_xlfn.STOCKHISTORY("USD/BRL",E1049,E1049,0,0,1),Preços!$C$3)</f>
        <v>6.1798000000000002</v>
      </c>
    </row>
    <row r="1050" spans="5:6" x14ac:dyDescent="0.25">
      <c r="E1050" s="147">
        <f t="shared" si="15"/>
        <v>1</v>
      </c>
      <c r="F1050" s="155" cm="1">
        <f t="array" aca="1" ref="F1050" ca="1">IFERROR(_xlfn.STOCKHISTORY("USD/BRL",E1050,E1050,0,0,1),Preços!$C$3)</f>
        <v>6.1798000000000002</v>
      </c>
    </row>
    <row r="1051" spans="5:6" x14ac:dyDescent="0.25">
      <c r="E1051" s="147">
        <f t="shared" si="15"/>
        <v>1</v>
      </c>
      <c r="F1051" s="155" cm="1">
        <f t="array" aca="1" ref="F1051" ca="1">IFERROR(_xlfn.STOCKHISTORY("USD/BRL",E1051,E1051,0,0,1),Preços!$C$3)</f>
        <v>6.1798000000000002</v>
      </c>
    </row>
    <row r="1052" spans="5:6" x14ac:dyDescent="0.25">
      <c r="E1052" s="147">
        <f t="shared" si="15"/>
        <v>1</v>
      </c>
      <c r="F1052" s="155" cm="1">
        <f t="array" aca="1" ref="F1052" ca="1">IFERROR(_xlfn.STOCKHISTORY("USD/BRL",E1052,E1052,0,0,1),Preços!$C$3)</f>
        <v>6.1798000000000002</v>
      </c>
    </row>
    <row r="1053" spans="5:6" x14ac:dyDescent="0.25">
      <c r="E1053" s="147">
        <f t="shared" si="15"/>
        <v>1</v>
      </c>
      <c r="F1053" s="155" cm="1">
        <f t="array" aca="1" ref="F1053" ca="1">IFERROR(_xlfn.STOCKHISTORY("USD/BRL",E1053,E1053,0,0,1),Preços!$C$3)</f>
        <v>6.1798000000000002</v>
      </c>
    </row>
    <row r="1054" spans="5:6" x14ac:dyDescent="0.25">
      <c r="E1054" s="147">
        <f t="shared" si="15"/>
        <v>1</v>
      </c>
      <c r="F1054" s="155" cm="1">
        <f t="array" aca="1" ref="F1054" ca="1">IFERROR(_xlfn.STOCKHISTORY("USD/BRL",E1054,E1054,0,0,1),Preços!$C$3)</f>
        <v>6.1798000000000002</v>
      </c>
    </row>
    <row r="1055" spans="5:6" x14ac:dyDescent="0.25">
      <c r="E1055" s="147">
        <f t="shared" si="15"/>
        <v>1</v>
      </c>
      <c r="F1055" s="155" cm="1">
        <f t="array" aca="1" ref="F1055" ca="1">IFERROR(_xlfn.STOCKHISTORY("USD/BRL",E1055,E1055,0,0,1),Preços!$C$3)</f>
        <v>6.1798000000000002</v>
      </c>
    </row>
    <row r="1056" spans="5:6" x14ac:dyDescent="0.25">
      <c r="E1056" s="147">
        <f t="shared" si="15"/>
        <v>1</v>
      </c>
      <c r="F1056" s="155" cm="1">
        <f t="array" aca="1" ref="F1056" ca="1">IFERROR(_xlfn.STOCKHISTORY("USD/BRL",E1056,E1056,0,0,1),Preços!$C$3)</f>
        <v>6.1798000000000002</v>
      </c>
    </row>
    <row r="1057" spans="5:6" x14ac:dyDescent="0.25">
      <c r="E1057" s="147">
        <f t="shared" si="15"/>
        <v>1</v>
      </c>
      <c r="F1057" s="155" cm="1">
        <f t="array" aca="1" ref="F1057" ca="1">IFERROR(_xlfn.STOCKHISTORY("USD/BRL",E1057,E1057,0,0,1),Preços!$C$3)</f>
        <v>6.1798000000000002</v>
      </c>
    </row>
    <row r="1058" spans="5:6" x14ac:dyDescent="0.25">
      <c r="E1058" s="147">
        <f t="shared" si="15"/>
        <v>1</v>
      </c>
      <c r="F1058" s="155" cm="1">
        <f t="array" aca="1" ref="F1058" ca="1">IFERROR(_xlfn.STOCKHISTORY("USD/BRL",E1058,E1058,0,0,1),Preços!$C$3)</f>
        <v>6.1798000000000002</v>
      </c>
    </row>
    <row r="1059" spans="5:6" x14ac:dyDescent="0.25">
      <c r="E1059" s="147">
        <f t="shared" si="15"/>
        <v>1</v>
      </c>
      <c r="F1059" s="155" cm="1">
        <f t="array" aca="1" ref="F1059" ca="1">IFERROR(_xlfn.STOCKHISTORY("USD/BRL",E1059,E1059,0,0,1),Preços!$C$3)</f>
        <v>6.1798000000000002</v>
      </c>
    </row>
    <row r="1060" spans="5:6" x14ac:dyDescent="0.25">
      <c r="E1060" s="147">
        <f t="shared" si="15"/>
        <v>1</v>
      </c>
      <c r="F1060" s="155" cm="1">
        <f t="array" aca="1" ref="F1060" ca="1">IFERROR(_xlfn.STOCKHISTORY("USD/BRL",E1060,E1060,0,0,1),Preços!$C$3)</f>
        <v>6.1798000000000002</v>
      </c>
    </row>
    <row r="1061" spans="5:6" x14ac:dyDescent="0.25">
      <c r="E1061" s="147">
        <f t="shared" si="15"/>
        <v>1</v>
      </c>
      <c r="F1061" s="155" cm="1">
        <f t="array" aca="1" ref="F1061" ca="1">IFERROR(_xlfn.STOCKHISTORY("USD/BRL",E1061,E1061,0,0,1),Preços!$C$3)</f>
        <v>6.1798000000000002</v>
      </c>
    </row>
    <row r="1062" spans="5:6" x14ac:dyDescent="0.25">
      <c r="E1062" s="147">
        <f t="shared" si="15"/>
        <v>1</v>
      </c>
      <c r="F1062" s="155" cm="1">
        <f t="array" aca="1" ref="F1062" ca="1">IFERROR(_xlfn.STOCKHISTORY("USD/BRL",E1062,E1062,0,0,1),Preços!$C$3)</f>
        <v>6.1798000000000002</v>
      </c>
    </row>
    <row r="1063" spans="5:6" x14ac:dyDescent="0.25">
      <c r="E1063" s="147">
        <f t="shared" si="15"/>
        <v>1</v>
      </c>
      <c r="F1063" s="155" cm="1">
        <f t="array" aca="1" ref="F1063" ca="1">IFERROR(_xlfn.STOCKHISTORY("USD/BRL",E1063,E1063,0,0,1),Preços!$C$3)</f>
        <v>6.1798000000000002</v>
      </c>
    </row>
    <row r="1064" spans="5:6" x14ac:dyDescent="0.25">
      <c r="E1064" s="147">
        <f t="shared" si="15"/>
        <v>1</v>
      </c>
      <c r="F1064" s="155" cm="1">
        <f t="array" aca="1" ref="F1064" ca="1">IFERROR(_xlfn.STOCKHISTORY("USD/BRL",E1064,E1064,0,0,1),Preços!$C$3)</f>
        <v>6.1798000000000002</v>
      </c>
    </row>
    <row r="1065" spans="5:6" x14ac:dyDescent="0.25">
      <c r="E1065" s="147">
        <f t="shared" si="15"/>
        <v>1</v>
      </c>
      <c r="F1065" s="155" cm="1">
        <f t="array" aca="1" ref="F1065" ca="1">IFERROR(_xlfn.STOCKHISTORY("USD/BRL",E1065,E1065,0,0,1),Preços!$C$3)</f>
        <v>6.1798000000000002</v>
      </c>
    </row>
    <row r="1066" spans="5:6" x14ac:dyDescent="0.25">
      <c r="E1066" s="147">
        <f t="shared" si="15"/>
        <v>1</v>
      </c>
      <c r="F1066" s="155" cm="1">
        <f t="array" aca="1" ref="F1066" ca="1">IFERROR(_xlfn.STOCKHISTORY("USD/BRL",E1066,E1066,0,0,1),Preços!$C$3)</f>
        <v>6.1798000000000002</v>
      </c>
    </row>
    <row r="1067" spans="5:6" x14ac:dyDescent="0.25">
      <c r="E1067" s="147">
        <f t="shared" si="15"/>
        <v>1</v>
      </c>
      <c r="F1067" s="155" cm="1">
        <f t="array" aca="1" ref="F1067" ca="1">IFERROR(_xlfn.STOCKHISTORY("USD/BRL",E1067,E1067,0,0,1),Preços!$C$3)</f>
        <v>6.1798000000000002</v>
      </c>
    </row>
    <row r="1068" spans="5:6" x14ac:dyDescent="0.25">
      <c r="E1068" s="147">
        <f t="shared" si="15"/>
        <v>1</v>
      </c>
      <c r="F1068" s="155" cm="1">
        <f t="array" aca="1" ref="F1068" ca="1">IFERROR(_xlfn.STOCKHISTORY("USD/BRL",E1068,E1068,0,0,1),Preços!$C$3)</f>
        <v>6.1798000000000002</v>
      </c>
    </row>
    <row r="1069" spans="5:6" x14ac:dyDescent="0.25">
      <c r="E1069" s="147">
        <f t="shared" si="15"/>
        <v>1</v>
      </c>
      <c r="F1069" s="155" cm="1">
        <f t="array" aca="1" ref="F1069" ca="1">IFERROR(_xlfn.STOCKHISTORY("USD/BRL",E1069,E1069,0,0,1),Preços!$C$3)</f>
        <v>6.1798000000000002</v>
      </c>
    </row>
    <row r="1070" spans="5:6" x14ac:dyDescent="0.25">
      <c r="E1070" s="147">
        <f t="shared" si="15"/>
        <v>1</v>
      </c>
      <c r="F1070" s="155" cm="1">
        <f t="array" aca="1" ref="F1070" ca="1">IFERROR(_xlfn.STOCKHISTORY("USD/BRL",E1070,E1070,0,0,1),Preços!$C$3)</f>
        <v>6.1798000000000002</v>
      </c>
    </row>
    <row r="1071" spans="5:6" x14ac:dyDescent="0.25">
      <c r="E1071" s="147">
        <f t="shared" si="15"/>
        <v>1</v>
      </c>
      <c r="F1071" s="155" cm="1">
        <f t="array" aca="1" ref="F1071" ca="1">IFERROR(_xlfn.STOCKHISTORY("USD/BRL",E1071,E1071,0,0,1),Preços!$C$3)</f>
        <v>6.1798000000000002</v>
      </c>
    </row>
    <row r="1072" spans="5:6" x14ac:dyDescent="0.25">
      <c r="E1072" s="147">
        <f t="shared" si="15"/>
        <v>1</v>
      </c>
      <c r="F1072" s="155" cm="1">
        <f t="array" aca="1" ref="F1072" ca="1">IFERROR(_xlfn.STOCKHISTORY("USD/BRL",E1072,E1072,0,0,1),Preços!$C$3)</f>
        <v>6.1798000000000002</v>
      </c>
    </row>
    <row r="1073" spans="5:6" x14ac:dyDescent="0.25">
      <c r="E1073" s="147">
        <f t="shared" si="15"/>
        <v>1</v>
      </c>
      <c r="F1073" s="155" cm="1">
        <f t="array" aca="1" ref="F1073" ca="1">IFERROR(_xlfn.STOCKHISTORY("USD/BRL",E1073,E1073,0,0,1),Preços!$C$3)</f>
        <v>6.1798000000000002</v>
      </c>
    </row>
    <row r="1074" spans="5:6" x14ac:dyDescent="0.25">
      <c r="E1074" s="147">
        <f t="shared" si="15"/>
        <v>1</v>
      </c>
      <c r="F1074" s="155" cm="1">
        <f t="array" aca="1" ref="F1074" ca="1">IFERROR(_xlfn.STOCKHISTORY("USD/BRL",E1074,E1074,0,0,1),Preços!$C$3)</f>
        <v>6.1798000000000002</v>
      </c>
    </row>
    <row r="1075" spans="5:6" x14ac:dyDescent="0.25">
      <c r="E1075" s="147">
        <f t="shared" si="15"/>
        <v>1</v>
      </c>
      <c r="F1075" s="155" cm="1">
        <f t="array" aca="1" ref="F1075" ca="1">IFERROR(_xlfn.STOCKHISTORY("USD/BRL",E1075,E1075,0,0,1),Preços!$C$3)</f>
        <v>6.1798000000000002</v>
      </c>
    </row>
    <row r="1076" spans="5:6" x14ac:dyDescent="0.25">
      <c r="E1076" s="147">
        <f t="shared" si="15"/>
        <v>1</v>
      </c>
      <c r="F1076" s="155" cm="1">
        <f t="array" aca="1" ref="F1076" ca="1">IFERROR(_xlfn.STOCKHISTORY("USD/BRL",E1076,E1076,0,0,1),Preços!$C$3)</f>
        <v>6.1798000000000002</v>
      </c>
    </row>
    <row r="1077" spans="5:6" x14ac:dyDescent="0.25">
      <c r="E1077" s="147">
        <f t="shared" si="15"/>
        <v>1</v>
      </c>
      <c r="F1077" s="155" cm="1">
        <f t="array" aca="1" ref="F1077" ca="1">IFERROR(_xlfn.STOCKHISTORY("USD/BRL",E1077,E1077,0,0,1),Preços!$C$3)</f>
        <v>6.1798000000000002</v>
      </c>
    </row>
    <row r="1078" spans="5:6" x14ac:dyDescent="0.25">
      <c r="E1078" s="147">
        <f t="shared" si="15"/>
        <v>1</v>
      </c>
      <c r="F1078" s="155" cm="1">
        <f t="array" aca="1" ref="F1078" ca="1">IFERROR(_xlfn.STOCKHISTORY("USD/BRL",E1078,E1078,0,0,1),Preços!$C$3)</f>
        <v>6.1798000000000002</v>
      </c>
    </row>
    <row r="1079" spans="5:6" x14ac:dyDescent="0.25">
      <c r="E1079" s="147">
        <f t="shared" si="15"/>
        <v>1</v>
      </c>
      <c r="F1079" s="155" cm="1">
        <f t="array" aca="1" ref="F1079" ca="1">IFERROR(_xlfn.STOCKHISTORY("USD/BRL",E1079,E1079,0,0,1),Preços!$C$3)</f>
        <v>6.1798000000000002</v>
      </c>
    </row>
    <row r="1080" spans="5:6" x14ac:dyDescent="0.25">
      <c r="E1080" s="147">
        <f t="shared" si="15"/>
        <v>1</v>
      </c>
      <c r="F1080" s="155" cm="1">
        <f t="array" aca="1" ref="F1080" ca="1">IFERROR(_xlfn.STOCKHISTORY("USD/BRL",E1080,E1080,0,0,1),Preços!$C$3)</f>
        <v>6.1798000000000002</v>
      </c>
    </row>
    <row r="1081" spans="5:6" x14ac:dyDescent="0.25">
      <c r="E1081" s="147">
        <f t="shared" si="15"/>
        <v>1</v>
      </c>
      <c r="F1081" s="155" cm="1">
        <f t="array" aca="1" ref="F1081" ca="1">IFERROR(_xlfn.STOCKHISTORY("USD/BRL",E1081,E1081,0,0,1),Preços!$C$3)</f>
        <v>6.1798000000000002</v>
      </c>
    </row>
    <row r="1082" spans="5:6" x14ac:dyDescent="0.25">
      <c r="E1082" s="147">
        <f t="shared" si="15"/>
        <v>1</v>
      </c>
      <c r="F1082" s="155" cm="1">
        <f t="array" aca="1" ref="F1082" ca="1">IFERROR(_xlfn.STOCKHISTORY("USD/BRL",E1082,E1082,0,0,1),Preços!$C$3)</f>
        <v>6.1798000000000002</v>
      </c>
    </row>
    <row r="1083" spans="5:6" x14ac:dyDescent="0.25">
      <c r="E1083" s="147">
        <f t="shared" si="15"/>
        <v>1</v>
      </c>
      <c r="F1083" s="155" cm="1">
        <f t="array" aca="1" ref="F1083" ca="1">IFERROR(_xlfn.STOCKHISTORY("USD/BRL",E1083,E1083,0,0,1),Preços!$C$3)</f>
        <v>6.1798000000000002</v>
      </c>
    </row>
    <row r="1084" spans="5:6" x14ac:dyDescent="0.25">
      <c r="E1084" s="147">
        <f t="shared" si="15"/>
        <v>1</v>
      </c>
      <c r="F1084" s="155" cm="1">
        <f t="array" aca="1" ref="F1084" ca="1">IFERROR(_xlfn.STOCKHISTORY("USD/BRL",E1084,E1084,0,0,1),Preços!$C$3)</f>
        <v>6.1798000000000002</v>
      </c>
    </row>
    <row r="1085" spans="5:6" x14ac:dyDescent="0.25">
      <c r="E1085" s="147">
        <f t="shared" si="15"/>
        <v>1</v>
      </c>
      <c r="F1085" s="155" cm="1">
        <f t="array" aca="1" ref="F1085" ca="1">IFERROR(_xlfn.STOCKHISTORY("USD/BRL",E1085,E1085,0,0,1),Preços!$C$3)</f>
        <v>6.1798000000000002</v>
      </c>
    </row>
    <row r="1086" spans="5:6" x14ac:dyDescent="0.25">
      <c r="E1086" s="147">
        <f t="shared" si="15"/>
        <v>1</v>
      </c>
      <c r="F1086" s="155" cm="1">
        <f t="array" aca="1" ref="F1086" ca="1">IFERROR(_xlfn.STOCKHISTORY("USD/BRL",E1086,E1086,0,0,1),Preços!$C$3)</f>
        <v>6.1798000000000002</v>
      </c>
    </row>
    <row r="1087" spans="5:6" x14ac:dyDescent="0.25">
      <c r="E1087" s="147">
        <f t="shared" si="15"/>
        <v>1</v>
      </c>
      <c r="F1087" s="155" cm="1">
        <f t="array" aca="1" ref="F1087" ca="1">IFERROR(_xlfn.STOCKHISTORY("USD/BRL",E1087,E1087,0,0,1),Preços!$C$3)</f>
        <v>6.1798000000000002</v>
      </c>
    </row>
    <row r="1088" spans="5:6" x14ac:dyDescent="0.25">
      <c r="E1088" s="147">
        <f t="shared" si="15"/>
        <v>1</v>
      </c>
      <c r="F1088" s="155" cm="1">
        <f t="array" aca="1" ref="F1088" ca="1">IFERROR(_xlfn.STOCKHISTORY("USD/BRL",E1088,E1088,0,0,1),Preços!$C$3)</f>
        <v>6.1798000000000002</v>
      </c>
    </row>
    <row r="1089" spans="5:6" x14ac:dyDescent="0.25">
      <c r="E1089" s="147">
        <f t="shared" si="15"/>
        <v>1</v>
      </c>
      <c r="F1089" s="155" cm="1">
        <f t="array" aca="1" ref="F1089" ca="1">IFERROR(_xlfn.STOCKHISTORY("USD/BRL",E1089,E1089,0,0,1),Preços!$C$3)</f>
        <v>6.1798000000000002</v>
      </c>
    </row>
    <row r="1090" spans="5:6" x14ac:dyDescent="0.25">
      <c r="E1090" s="147">
        <f t="shared" si="15"/>
        <v>1</v>
      </c>
      <c r="F1090" s="155" cm="1">
        <f t="array" aca="1" ref="F1090" ca="1">IFERROR(_xlfn.STOCKHISTORY("USD/BRL",E1090,E1090,0,0,1),Preços!$C$3)</f>
        <v>6.1798000000000002</v>
      </c>
    </row>
    <row r="1091" spans="5:6" x14ac:dyDescent="0.25">
      <c r="E1091" s="147">
        <f t="shared" si="15"/>
        <v>1</v>
      </c>
      <c r="F1091" s="155" cm="1">
        <f t="array" aca="1" ref="F1091" ca="1">IFERROR(_xlfn.STOCKHISTORY("USD/BRL",E1091,E1091,0,0,1),Preços!$C$3)</f>
        <v>6.1798000000000002</v>
      </c>
    </row>
    <row r="1092" spans="5:6" x14ac:dyDescent="0.25">
      <c r="E1092" s="147">
        <f t="shared" ref="E1092:E1155" si="16">DATE(YEAR(D998),MONTH(D998),1)</f>
        <v>1</v>
      </c>
      <c r="F1092" s="155" cm="1">
        <f t="array" aca="1" ref="F1092" ca="1">IFERROR(_xlfn.STOCKHISTORY("USD/BRL",E1092,E1092,0,0,1),Preços!$C$3)</f>
        <v>6.1798000000000002</v>
      </c>
    </row>
    <row r="1093" spans="5:6" x14ac:dyDescent="0.25">
      <c r="E1093" s="147">
        <f t="shared" si="16"/>
        <v>1</v>
      </c>
      <c r="F1093" s="155" cm="1">
        <f t="array" aca="1" ref="F1093" ca="1">IFERROR(_xlfn.STOCKHISTORY("USD/BRL",E1093,E1093,0,0,1),Preços!$C$3)</f>
        <v>6.1798000000000002</v>
      </c>
    </row>
    <row r="1094" spans="5:6" x14ac:dyDescent="0.25">
      <c r="E1094" s="147">
        <f t="shared" si="16"/>
        <v>1</v>
      </c>
      <c r="F1094" s="155" cm="1">
        <f t="array" aca="1" ref="F1094" ca="1">IFERROR(_xlfn.STOCKHISTORY("USD/BRL",E1094,E1094,0,0,1),Preços!$C$3)</f>
        <v>6.1798000000000002</v>
      </c>
    </row>
    <row r="1095" spans="5:6" x14ac:dyDescent="0.25">
      <c r="E1095" s="147">
        <f t="shared" si="16"/>
        <v>1</v>
      </c>
      <c r="F1095" s="155" cm="1">
        <f t="array" aca="1" ref="F1095" ca="1">IFERROR(_xlfn.STOCKHISTORY("USD/BRL",E1095,E1095,0,0,1),Preços!$C$3)</f>
        <v>6.1798000000000002</v>
      </c>
    </row>
    <row r="1096" spans="5:6" x14ac:dyDescent="0.25">
      <c r="E1096" s="147">
        <f t="shared" si="16"/>
        <v>1</v>
      </c>
      <c r="F1096" s="155" cm="1">
        <f t="array" aca="1" ref="F1096" ca="1">IFERROR(_xlfn.STOCKHISTORY("USD/BRL",E1096,E1096,0,0,1),Preços!$C$3)</f>
        <v>6.1798000000000002</v>
      </c>
    </row>
    <row r="1097" spans="5:6" x14ac:dyDescent="0.25">
      <c r="E1097" s="147">
        <f t="shared" si="16"/>
        <v>1</v>
      </c>
      <c r="F1097" s="155" cm="1">
        <f t="array" aca="1" ref="F1097" ca="1">IFERROR(_xlfn.STOCKHISTORY("USD/BRL",E1097,E1097,0,0,1),Preços!$C$3)</f>
        <v>6.1798000000000002</v>
      </c>
    </row>
    <row r="1098" spans="5:6" x14ac:dyDescent="0.25">
      <c r="E1098" s="147">
        <f t="shared" si="16"/>
        <v>1</v>
      </c>
      <c r="F1098" s="155" cm="1">
        <f t="array" aca="1" ref="F1098" ca="1">IFERROR(_xlfn.STOCKHISTORY("USD/BRL",E1098,E1098,0,0,1),Preços!$C$3)</f>
        <v>6.1798000000000002</v>
      </c>
    </row>
    <row r="1099" spans="5:6" x14ac:dyDescent="0.25">
      <c r="E1099" s="147">
        <f t="shared" si="16"/>
        <v>1</v>
      </c>
      <c r="F1099" s="155" cm="1">
        <f t="array" aca="1" ref="F1099" ca="1">IFERROR(_xlfn.STOCKHISTORY("USD/BRL",E1099,E1099,0,0,1),Preços!$C$3)</f>
        <v>6.1798000000000002</v>
      </c>
    </row>
    <row r="1100" spans="5:6" x14ac:dyDescent="0.25">
      <c r="E1100" s="147">
        <f t="shared" si="16"/>
        <v>1</v>
      </c>
      <c r="F1100" s="155" cm="1">
        <f t="array" aca="1" ref="F1100" ca="1">IFERROR(_xlfn.STOCKHISTORY("USD/BRL",E1100,E1100,0,0,1),Preços!$C$3)</f>
        <v>6.1798000000000002</v>
      </c>
    </row>
    <row r="1101" spans="5:6" x14ac:dyDescent="0.25">
      <c r="E1101" s="147">
        <f t="shared" si="16"/>
        <v>1</v>
      </c>
      <c r="F1101" s="155" cm="1">
        <f t="array" aca="1" ref="F1101" ca="1">IFERROR(_xlfn.STOCKHISTORY("USD/BRL",E1101,E1101,0,0,1),Preços!$C$3)</f>
        <v>6.1798000000000002</v>
      </c>
    </row>
    <row r="1102" spans="5:6" x14ac:dyDescent="0.25">
      <c r="E1102" s="147">
        <f t="shared" si="16"/>
        <v>1</v>
      </c>
      <c r="F1102" s="155" cm="1">
        <f t="array" aca="1" ref="F1102" ca="1">IFERROR(_xlfn.STOCKHISTORY("USD/BRL",E1102,E1102,0,0,1),Preços!$C$3)</f>
        <v>6.1798000000000002</v>
      </c>
    </row>
    <row r="1103" spans="5:6" x14ac:dyDescent="0.25">
      <c r="E1103" s="147">
        <f t="shared" si="16"/>
        <v>1</v>
      </c>
      <c r="F1103" s="155" cm="1">
        <f t="array" aca="1" ref="F1103" ca="1">IFERROR(_xlfn.STOCKHISTORY("USD/BRL",E1103,E1103,0,0,1),Preços!$C$3)</f>
        <v>6.1798000000000002</v>
      </c>
    </row>
    <row r="1104" spans="5:6" x14ac:dyDescent="0.25">
      <c r="E1104" s="147">
        <f t="shared" si="16"/>
        <v>1</v>
      </c>
      <c r="F1104" s="155" cm="1">
        <f t="array" aca="1" ref="F1104" ca="1">IFERROR(_xlfn.STOCKHISTORY("USD/BRL",E1104,E1104,0,0,1),Preços!$C$3)</f>
        <v>6.1798000000000002</v>
      </c>
    </row>
    <row r="1105" spans="5:6" x14ac:dyDescent="0.25">
      <c r="E1105" s="147">
        <f t="shared" si="16"/>
        <v>1</v>
      </c>
      <c r="F1105" s="155" cm="1">
        <f t="array" aca="1" ref="F1105" ca="1">IFERROR(_xlfn.STOCKHISTORY("USD/BRL",E1105,E1105,0,0,1),Preços!$C$3)</f>
        <v>6.1798000000000002</v>
      </c>
    </row>
    <row r="1106" spans="5:6" x14ac:dyDescent="0.25">
      <c r="E1106" s="147">
        <f t="shared" si="16"/>
        <v>1</v>
      </c>
      <c r="F1106" s="155" cm="1">
        <f t="array" aca="1" ref="F1106" ca="1">IFERROR(_xlfn.STOCKHISTORY("USD/BRL",E1106,E1106,0,0,1),Preços!$C$3)</f>
        <v>6.1798000000000002</v>
      </c>
    </row>
    <row r="1107" spans="5:6" x14ac:dyDescent="0.25">
      <c r="E1107" s="147">
        <f t="shared" si="16"/>
        <v>1</v>
      </c>
      <c r="F1107" s="155" cm="1">
        <f t="array" aca="1" ref="F1107" ca="1">IFERROR(_xlfn.STOCKHISTORY("USD/BRL",E1107,E1107,0,0,1),Preços!$C$3)</f>
        <v>6.1798000000000002</v>
      </c>
    </row>
    <row r="1108" spans="5:6" x14ac:dyDescent="0.25">
      <c r="E1108" s="147">
        <f t="shared" si="16"/>
        <v>1</v>
      </c>
      <c r="F1108" s="155" cm="1">
        <f t="array" aca="1" ref="F1108" ca="1">IFERROR(_xlfn.STOCKHISTORY("USD/BRL",E1108,E1108,0,0,1),Preços!$C$3)</f>
        <v>6.1798000000000002</v>
      </c>
    </row>
    <row r="1109" spans="5:6" x14ac:dyDescent="0.25">
      <c r="E1109" s="147">
        <f t="shared" si="16"/>
        <v>1</v>
      </c>
      <c r="F1109" s="155" cm="1">
        <f t="array" aca="1" ref="F1109" ca="1">IFERROR(_xlfn.STOCKHISTORY("USD/BRL",E1109,E1109,0,0,1),Preços!$C$3)</f>
        <v>6.1798000000000002</v>
      </c>
    </row>
    <row r="1110" spans="5:6" x14ac:dyDescent="0.25">
      <c r="E1110" s="147">
        <f t="shared" si="16"/>
        <v>1</v>
      </c>
      <c r="F1110" s="155" cm="1">
        <f t="array" aca="1" ref="F1110" ca="1">IFERROR(_xlfn.STOCKHISTORY("USD/BRL",E1110,E1110,0,0,1),Preços!$C$3)</f>
        <v>6.1798000000000002</v>
      </c>
    </row>
    <row r="1111" spans="5:6" x14ac:dyDescent="0.25">
      <c r="E1111" s="147">
        <f t="shared" si="16"/>
        <v>1</v>
      </c>
      <c r="F1111" s="155" cm="1">
        <f t="array" aca="1" ref="F1111" ca="1">IFERROR(_xlfn.STOCKHISTORY("USD/BRL",E1111,E1111,0,0,1),Preços!$C$3)</f>
        <v>6.1798000000000002</v>
      </c>
    </row>
    <row r="1112" spans="5:6" x14ac:dyDescent="0.25">
      <c r="E1112" s="147">
        <f t="shared" si="16"/>
        <v>1</v>
      </c>
      <c r="F1112" s="155" cm="1">
        <f t="array" aca="1" ref="F1112" ca="1">IFERROR(_xlfn.STOCKHISTORY("USD/BRL",E1112,E1112,0,0,1),Preços!$C$3)</f>
        <v>6.1798000000000002</v>
      </c>
    </row>
    <row r="1113" spans="5:6" x14ac:dyDescent="0.25">
      <c r="E1113" s="147">
        <f t="shared" si="16"/>
        <v>1</v>
      </c>
      <c r="F1113" s="155" cm="1">
        <f t="array" aca="1" ref="F1113" ca="1">IFERROR(_xlfn.STOCKHISTORY("USD/BRL",E1113,E1113,0,0,1),Preços!$C$3)</f>
        <v>6.1798000000000002</v>
      </c>
    </row>
    <row r="1114" spans="5:6" x14ac:dyDescent="0.25">
      <c r="E1114" s="147">
        <f t="shared" si="16"/>
        <v>1</v>
      </c>
      <c r="F1114" s="155" cm="1">
        <f t="array" aca="1" ref="F1114" ca="1">IFERROR(_xlfn.STOCKHISTORY("USD/BRL",E1114,E1114,0,0,1),Preços!$C$3)</f>
        <v>6.1798000000000002</v>
      </c>
    </row>
    <row r="1115" spans="5:6" x14ac:dyDescent="0.25">
      <c r="E1115" s="147">
        <f t="shared" si="16"/>
        <v>1</v>
      </c>
      <c r="F1115" s="155" cm="1">
        <f t="array" aca="1" ref="F1115" ca="1">IFERROR(_xlfn.STOCKHISTORY("USD/BRL",E1115,E1115,0,0,1),Preços!$C$3)</f>
        <v>6.1798000000000002</v>
      </c>
    </row>
    <row r="1116" spans="5:6" x14ac:dyDescent="0.25">
      <c r="E1116" s="147">
        <f t="shared" si="16"/>
        <v>1</v>
      </c>
      <c r="F1116" s="155" cm="1">
        <f t="array" aca="1" ref="F1116" ca="1">IFERROR(_xlfn.STOCKHISTORY("USD/BRL",E1116,E1116,0,0,1),Preços!$C$3)</f>
        <v>6.1798000000000002</v>
      </c>
    </row>
    <row r="1117" spans="5:6" x14ac:dyDescent="0.25">
      <c r="E1117" s="147">
        <f t="shared" si="16"/>
        <v>1</v>
      </c>
      <c r="F1117" s="155" cm="1">
        <f t="array" aca="1" ref="F1117" ca="1">IFERROR(_xlfn.STOCKHISTORY("USD/BRL",E1117,E1117,0,0,1),Preços!$C$3)</f>
        <v>6.1798000000000002</v>
      </c>
    </row>
    <row r="1118" spans="5:6" x14ac:dyDescent="0.25">
      <c r="E1118" s="147">
        <f t="shared" si="16"/>
        <v>1</v>
      </c>
      <c r="F1118" s="155" cm="1">
        <f t="array" aca="1" ref="F1118" ca="1">IFERROR(_xlfn.STOCKHISTORY("USD/BRL",E1118,E1118,0,0,1),Preços!$C$3)</f>
        <v>6.1798000000000002</v>
      </c>
    </row>
    <row r="1119" spans="5:6" x14ac:dyDescent="0.25">
      <c r="E1119" s="147">
        <f t="shared" si="16"/>
        <v>1</v>
      </c>
      <c r="F1119" s="155" cm="1">
        <f t="array" aca="1" ref="F1119" ca="1">IFERROR(_xlfn.STOCKHISTORY("USD/BRL",E1119,E1119,0,0,1),Preços!$C$3)</f>
        <v>6.1798000000000002</v>
      </c>
    </row>
    <row r="1120" spans="5:6" x14ac:dyDescent="0.25">
      <c r="E1120" s="147">
        <f t="shared" si="16"/>
        <v>1</v>
      </c>
      <c r="F1120" s="155" cm="1">
        <f t="array" aca="1" ref="F1120" ca="1">IFERROR(_xlfn.STOCKHISTORY("USD/BRL",E1120,E1120,0,0,1),Preços!$C$3)</f>
        <v>6.1798000000000002</v>
      </c>
    </row>
    <row r="1121" spans="5:6" x14ac:dyDescent="0.25">
      <c r="E1121" s="147">
        <f t="shared" si="16"/>
        <v>1</v>
      </c>
      <c r="F1121" s="155" cm="1">
        <f t="array" aca="1" ref="F1121" ca="1">IFERROR(_xlfn.STOCKHISTORY("USD/BRL",E1121,E1121,0,0,1),Preços!$C$3)</f>
        <v>6.1798000000000002</v>
      </c>
    </row>
    <row r="1122" spans="5:6" x14ac:dyDescent="0.25">
      <c r="E1122" s="147">
        <f t="shared" si="16"/>
        <v>1</v>
      </c>
      <c r="F1122" s="155" cm="1">
        <f t="array" aca="1" ref="F1122" ca="1">IFERROR(_xlfn.STOCKHISTORY("USD/BRL",E1122,E1122,0,0,1),Preços!$C$3)</f>
        <v>6.1798000000000002</v>
      </c>
    </row>
    <row r="1123" spans="5:6" x14ac:dyDescent="0.25">
      <c r="E1123" s="147">
        <f t="shared" si="16"/>
        <v>1</v>
      </c>
      <c r="F1123" s="155" cm="1">
        <f t="array" aca="1" ref="F1123" ca="1">IFERROR(_xlfn.STOCKHISTORY("USD/BRL",E1123,E1123,0,0,1),Preços!$C$3)</f>
        <v>6.1798000000000002</v>
      </c>
    </row>
    <row r="1124" spans="5:6" x14ac:dyDescent="0.25">
      <c r="E1124" s="147">
        <f t="shared" si="16"/>
        <v>1</v>
      </c>
      <c r="F1124" s="155" cm="1">
        <f t="array" aca="1" ref="F1124" ca="1">IFERROR(_xlfn.STOCKHISTORY("USD/BRL",E1124,E1124,0,0,1),Preços!$C$3)</f>
        <v>6.1798000000000002</v>
      </c>
    </row>
    <row r="1125" spans="5:6" x14ac:dyDescent="0.25">
      <c r="E1125" s="147">
        <f t="shared" si="16"/>
        <v>1</v>
      </c>
      <c r="F1125" s="155" cm="1">
        <f t="array" aca="1" ref="F1125" ca="1">IFERROR(_xlfn.STOCKHISTORY("USD/BRL",E1125,E1125,0,0,1),Preços!$C$3)</f>
        <v>6.1798000000000002</v>
      </c>
    </row>
    <row r="1126" spans="5:6" x14ac:dyDescent="0.25">
      <c r="E1126" s="147">
        <f t="shared" si="16"/>
        <v>1</v>
      </c>
      <c r="F1126" s="155" cm="1">
        <f t="array" aca="1" ref="F1126" ca="1">IFERROR(_xlfn.STOCKHISTORY("USD/BRL",E1126,E1126,0,0,1),Preços!$C$3)</f>
        <v>6.1798000000000002</v>
      </c>
    </row>
    <row r="1127" spans="5:6" x14ac:dyDescent="0.25">
      <c r="E1127" s="147">
        <f t="shared" si="16"/>
        <v>1</v>
      </c>
      <c r="F1127" s="155" cm="1">
        <f t="array" aca="1" ref="F1127" ca="1">IFERROR(_xlfn.STOCKHISTORY("USD/BRL",E1127,E1127,0,0,1),Preços!$C$3)</f>
        <v>6.1798000000000002</v>
      </c>
    </row>
    <row r="1128" spans="5:6" x14ac:dyDescent="0.25">
      <c r="E1128" s="147">
        <f t="shared" si="16"/>
        <v>1</v>
      </c>
      <c r="F1128" s="155" cm="1">
        <f t="array" aca="1" ref="F1128" ca="1">IFERROR(_xlfn.STOCKHISTORY("USD/BRL",E1128,E1128,0,0,1),Preços!$C$3)</f>
        <v>6.1798000000000002</v>
      </c>
    </row>
    <row r="1129" spans="5:6" x14ac:dyDescent="0.25">
      <c r="E1129" s="147">
        <f t="shared" si="16"/>
        <v>1</v>
      </c>
      <c r="F1129" s="155" cm="1">
        <f t="array" aca="1" ref="F1129" ca="1">IFERROR(_xlfn.STOCKHISTORY("USD/BRL",E1129,E1129,0,0,1),Preços!$C$3)</f>
        <v>6.1798000000000002</v>
      </c>
    </row>
    <row r="1130" spans="5:6" x14ac:dyDescent="0.25">
      <c r="E1130" s="147">
        <f t="shared" si="16"/>
        <v>1</v>
      </c>
      <c r="F1130" s="155" cm="1">
        <f t="array" aca="1" ref="F1130" ca="1">IFERROR(_xlfn.STOCKHISTORY("USD/BRL",E1130,E1130,0,0,1),Preços!$C$3)</f>
        <v>6.1798000000000002</v>
      </c>
    </row>
    <row r="1131" spans="5:6" x14ac:dyDescent="0.25">
      <c r="E1131" s="147">
        <f t="shared" si="16"/>
        <v>1</v>
      </c>
      <c r="F1131" s="155" cm="1">
        <f t="array" aca="1" ref="F1131" ca="1">IFERROR(_xlfn.STOCKHISTORY("USD/BRL",E1131,E1131,0,0,1),Preços!$C$3)</f>
        <v>6.1798000000000002</v>
      </c>
    </row>
    <row r="1132" spans="5:6" x14ac:dyDescent="0.25">
      <c r="E1132" s="147">
        <f t="shared" si="16"/>
        <v>1</v>
      </c>
      <c r="F1132" s="155" cm="1">
        <f t="array" aca="1" ref="F1132" ca="1">IFERROR(_xlfn.STOCKHISTORY("USD/BRL",E1132,E1132,0,0,1),Preços!$C$3)</f>
        <v>6.1798000000000002</v>
      </c>
    </row>
    <row r="1133" spans="5:6" x14ac:dyDescent="0.25">
      <c r="E1133" s="147">
        <f t="shared" si="16"/>
        <v>1</v>
      </c>
      <c r="F1133" s="155" cm="1">
        <f t="array" aca="1" ref="F1133" ca="1">IFERROR(_xlfn.STOCKHISTORY("USD/BRL",E1133,E1133,0,0,1),Preços!$C$3)</f>
        <v>6.1798000000000002</v>
      </c>
    </row>
    <row r="1134" spans="5:6" x14ac:dyDescent="0.25">
      <c r="E1134" s="147">
        <f t="shared" si="16"/>
        <v>1</v>
      </c>
      <c r="F1134" s="155" cm="1">
        <f t="array" aca="1" ref="F1134" ca="1">IFERROR(_xlfn.STOCKHISTORY("USD/BRL",E1134,E1134,0,0,1),Preços!$C$3)</f>
        <v>6.1798000000000002</v>
      </c>
    </row>
    <row r="1135" spans="5:6" x14ac:dyDescent="0.25">
      <c r="E1135" s="147">
        <f t="shared" si="16"/>
        <v>1</v>
      </c>
      <c r="F1135" s="155" cm="1">
        <f t="array" aca="1" ref="F1135" ca="1">IFERROR(_xlfn.STOCKHISTORY("USD/BRL",E1135,E1135,0,0,1),Preços!$C$3)</f>
        <v>6.1798000000000002</v>
      </c>
    </row>
    <row r="1136" spans="5:6" x14ac:dyDescent="0.25">
      <c r="E1136" s="147">
        <f t="shared" si="16"/>
        <v>1</v>
      </c>
      <c r="F1136" s="155" cm="1">
        <f t="array" aca="1" ref="F1136" ca="1">IFERROR(_xlfn.STOCKHISTORY("USD/BRL",E1136,E1136,0,0,1),Preços!$C$3)</f>
        <v>6.1798000000000002</v>
      </c>
    </row>
    <row r="1137" spans="5:6" x14ac:dyDescent="0.25">
      <c r="E1137" s="147">
        <f t="shared" si="16"/>
        <v>1</v>
      </c>
      <c r="F1137" s="155" cm="1">
        <f t="array" aca="1" ref="F1137" ca="1">IFERROR(_xlfn.STOCKHISTORY("USD/BRL",E1137,E1137,0,0,1),Preços!$C$3)</f>
        <v>6.1798000000000002</v>
      </c>
    </row>
    <row r="1138" spans="5:6" x14ac:dyDescent="0.25">
      <c r="E1138" s="147">
        <f t="shared" si="16"/>
        <v>1</v>
      </c>
      <c r="F1138" s="155" cm="1">
        <f t="array" aca="1" ref="F1138" ca="1">IFERROR(_xlfn.STOCKHISTORY("USD/BRL",E1138,E1138,0,0,1),Preços!$C$3)</f>
        <v>6.1798000000000002</v>
      </c>
    </row>
    <row r="1139" spans="5:6" x14ac:dyDescent="0.25">
      <c r="E1139" s="147">
        <f t="shared" si="16"/>
        <v>1</v>
      </c>
      <c r="F1139" s="155" cm="1">
        <f t="array" aca="1" ref="F1139" ca="1">IFERROR(_xlfn.STOCKHISTORY("USD/BRL",E1139,E1139,0,0,1),Preços!$C$3)</f>
        <v>6.1798000000000002</v>
      </c>
    </row>
    <row r="1140" spans="5:6" x14ac:dyDescent="0.25">
      <c r="E1140" s="147">
        <f t="shared" si="16"/>
        <v>1</v>
      </c>
      <c r="F1140" s="155" cm="1">
        <f t="array" aca="1" ref="F1140" ca="1">IFERROR(_xlfn.STOCKHISTORY("USD/BRL",E1140,E1140,0,0,1),Preços!$C$3)</f>
        <v>6.1798000000000002</v>
      </c>
    </row>
    <row r="1141" spans="5:6" x14ac:dyDescent="0.25">
      <c r="E1141" s="147">
        <f t="shared" si="16"/>
        <v>1</v>
      </c>
      <c r="F1141" s="155" cm="1">
        <f t="array" aca="1" ref="F1141" ca="1">IFERROR(_xlfn.STOCKHISTORY("USD/BRL",E1141,E1141,0,0,1),Preços!$C$3)</f>
        <v>6.1798000000000002</v>
      </c>
    </row>
    <row r="1142" spans="5:6" x14ac:dyDescent="0.25">
      <c r="E1142" s="147">
        <f t="shared" si="16"/>
        <v>1</v>
      </c>
      <c r="F1142" s="155" cm="1">
        <f t="array" aca="1" ref="F1142" ca="1">IFERROR(_xlfn.STOCKHISTORY("USD/BRL",E1142,E1142,0,0,1),Preços!$C$3)</f>
        <v>6.1798000000000002</v>
      </c>
    </row>
    <row r="1143" spans="5:6" x14ac:dyDescent="0.25">
      <c r="E1143" s="147">
        <f t="shared" si="16"/>
        <v>1</v>
      </c>
      <c r="F1143" s="155" cm="1">
        <f t="array" aca="1" ref="F1143" ca="1">IFERROR(_xlfn.STOCKHISTORY("USD/BRL",E1143,E1143,0,0,1),Preços!$C$3)</f>
        <v>6.1798000000000002</v>
      </c>
    </row>
    <row r="1144" spans="5:6" x14ac:dyDescent="0.25">
      <c r="E1144" s="147">
        <f t="shared" si="16"/>
        <v>1</v>
      </c>
      <c r="F1144" s="155" cm="1">
        <f t="array" aca="1" ref="F1144" ca="1">IFERROR(_xlfn.STOCKHISTORY("USD/BRL",E1144,E1144,0,0,1),Preços!$C$3)</f>
        <v>6.1798000000000002</v>
      </c>
    </row>
    <row r="1145" spans="5:6" x14ac:dyDescent="0.25">
      <c r="E1145" s="147">
        <f t="shared" si="16"/>
        <v>1</v>
      </c>
      <c r="F1145" s="155" cm="1">
        <f t="array" aca="1" ref="F1145" ca="1">IFERROR(_xlfn.STOCKHISTORY("USD/BRL",E1145,E1145,0,0,1),Preços!$C$3)</f>
        <v>6.1798000000000002</v>
      </c>
    </row>
    <row r="1146" spans="5:6" x14ac:dyDescent="0.25">
      <c r="E1146" s="147">
        <f t="shared" si="16"/>
        <v>1</v>
      </c>
      <c r="F1146" s="155" cm="1">
        <f t="array" aca="1" ref="F1146" ca="1">IFERROR(_xlfn.STOCKHISTORY("USD/BRL",E1146,E1146,0,0,1),Preços!$C$3)</f>
        <v>6.1798000000000002</v>
      </c>
    </row>
    <row r="1147" spans="5:6" x14ac:dyDescent="0.25">
      <c r="E1147" s="147">
        <f t="shared" si="16"/>
        <v>1</v>
      </c>
      <c r="F1147" s="155" cm="1">
        <f t="array" aca="1" ref="F1147" ca="1">IFERROR(_xlfn.STOCKHISTORY("USD/BRL",E1147,E1147,0,0,1),Preços!$C$3)</f>
        <v>6.1798000000000002</v>
      </c>
    </row>
    <row r="1148" spans="5:6" x14ac:dyDescent="0.25">
      <c r="E1148" s="147">
        <f t="shared" si="16"/>
        <v>1</v>
      </c>
      <c r="F1148" s="155" cm="1">
        <f t="array" aca="1" ref="F1148" ca="1">IFERROR(_xlfn.STOCKHISTORY("USD/BRL",E1148,E1148,0,0,1),Preços!$C$3)</f>
        <v>6.1798000000000002</v>
      </c>
    </row>
    <row r="1149" spans="5:6" x14ac:dyDescent="0.25">
      <c r="E1149" s="147">
        <f t="shared" si="16"/>
        <v>1</v>
      </c>
      <c r="F1149" s="155" cm="1">
        <f t="array" aca="1" ref="F1149" ca="1">IFERROR(_xlfn.STOCKHISTORY("USD/BRL",E1149,E1149,0,0,1),Preços!$C$3)</f>
        <v>6.1798000000000002</v>
      </c>
    </row>
    <row r="1150" spans="5:6" x14ac:dyDescent="0.25">
      <c r="E1150" s="147">
        <f t="shared" si="16"/>
        <v>1</v>
      </c>
      <c r="F1150" s="155" cm="1">
        <f t="array" aca="1" ref="F1150" ca="1">IFERROR(_xlfn.STOCKHISTORY("USD/BRL",E1150,E1150,0,0,1),Preços!$C$3)</f>
        <v>6.1798000000000002</v>
      </c>
    </row>
    <row r="1151" spans="5:6" x14ac:dyDescent="0.25">
      <c r="E1151" s="147">
        <f t="shared" si="16"/>
        <v>1</v>
      </c>
      <c r="F1151" s="155" cm="1">
        <f t="array" aca="1" ref="F1151" ca="1">IFERROR(_xlfn.STOCKHISTORY("USD/BRL",E1151,E1151,0,0,1),Preços!$C$3)</f>
        <v>6.1798000000000002</v>
      </c>
    </row>
    <row r="1152" spans="5:6" x14ac:dyDescent="0.25">
      <c r="E1152" s="147">
        <f t="shared" si="16"/>
        <v>1</v>
      </c>
      <c r="F1152" s="155" cm="1">
        <f t="array" aca="1" ref="F1152" ca="1">IFERROR(_xlfn.STOCKHISTORY("USD/BRL",E1152,E1152,0,0,1),Preços!$C$3)</f>
        <v>6.1798000000000002</v>
      </c>
    </row>
    <row r="1153" spans="5:6" x14ac:dyDescent="0.25">
      <c r="E1153" s="147">
        <f t="shared" si="16"/>
        <v>1</v>
      </c>
      <c r="F1153" s="155" cm="1">
        <f t="array" aca="1" ref="F1153" ca="1">IFERROR(_xlfn.STOCKHISTORY("USD/BRL",E1153,E1153,0,0,1),Preços!$C$3)</f>
        <v>6.1798000000000002</v>
      </c>
    </row>
    <row r="1154" spans="5:6" x14ac:dyDescent="0.25">
      <c r="E1154" s="147">
        <f t="shared" si="16"/>
        <v>1</v>
      </c>
      <c r="F1154" s="155" cm="1">
        <f t="array" aca="1" ref="F1154" ca="1">IFERROR(_xlfn.STOCKHISTORY("USD/BRL",E1154,E1154,0,0,1),Preços!$C$3)</f>
        <v>6.1798000000000002</v>
      </c>
    </row>
    <row r="1155" spans="5:6" x14ac:dyDescent="0.25">
      <c r="E1155" s="147">
        <f t="shared" si="16"/>
        <v>1</v>
      </c>
      <c r="F1155" s="155" cm="1">
        <f t="array" aca="1" ref="F1155" ca="1">IFERROR(_xlfn.STOCKHISTORY("USD/BRL",E1155,E1155,0,0,1),Preços!$C$3)</f>
        <v>6.1798000000000002</v>
      </c>
    </row>
    <row r="1156" spans="5:6" x14ac:dyDescent="0.25">
      <c r="E1156" s="147">
        <f t="shared" ref="E1156:E1219" si="17">DATE(YEAR(D1062),MONTH(D1062),1)</f>
        <v>1</v>
      </c>
      <c r="F1156" s="155" cm="1">
        <f t="array" aca="1" ref="F1156" ca="1">IFERROR(_xlfn.STOCKHISTORY("USD/BRL",E1156,E1156,0,0,1),Preços!$C$3)</f>
        <v>6.1798000000000002</v>
      </c>
    </row>
    <row r="1157" spans="5:6" x14ac:dyDescent="0.25">
      <c r="E1157" s="147">
        <f t="shared" si="17"/>
        <v>1</v>
      </c>
      <c r="F1157" s="155" cm="1">
        <f t="array" aca="1" ref="F1157" ca="1">IFERROR(_xlfn.STOCKHISTORY("USD/BRL",E1157,E1157,0,0,1),Preços!$C$3)</f>
        <v>6.1798000000000002</v>
      </c>
    </row>
    <row r="1158" spans="5:6" x14ac:dyDescent="0.25">
      <c r="E1158" s="147">
        <f t="shared" si="17"/>
        <v>1</v>
      </c>
      <c r="F1158" s="155" cm="1">
        <f t="array" aca="1" ref="F1158" ca="1">IFERROR(_xlfn.STOCKHISTORY("USD/BRL",E1158,E1158,0,0,1),Preços!$C$3)</f>
        <v>6.1798000000000002</v>
      </c>
    </row>
    <row r="1159" spans="5:6" x14ac:dyDescent="0.25">
      <c r="E1159" s="147">
        <f t="shared" si="17"/>
        <v>1</v>
      </c>
      <c r="F1159" s="155" cm="1">
        <f t="array" aca="1" ref="F1159" ca="1">IFERROR(_xlfn.STOCKHISTORY("USD/BRL",E1159,E1159,0,0,1),Preços!$C$3)</f>
        <v>6.1798000000000002</v>
      </c>
    </row>
    <row r="1160" spans="5:6" x14ac:dyDescent="0.25">
      <c r="E1160" s="147">
        <f t="shared" si="17"/>
        <v>1</v>
      </c>
      <c r="F1160" s="155" cm="1">
        <f t="array" aca="1" ref="F1160" ca="1">IFERROR(_xlfn.STOCKHISTORY("USD/BRL",E1160,E1160,0,0,1),Preços!$C$3)</f>
        <v>6.1798000000000002</v>
      </c>
    </row>
    <row r="1161" spans="5:6" x14ac:dyDescent="0.25">
      <c r="E1161" s="147">
        <f t="shared" si="17"/>
        <v>1</v>
      </c>
      <c r="F1161" s="155" cm="1">
        <f t="array" aca="1" ref="F1161" ca="1">IFERROR(_xlfn.STOCKHISTORY("USD/BRL",E1161,E1161,0,0,1),Preços!$C$3)</f>
        <v>6.1798000000000002</v>
      </c>
    </row>
    <row r="1162" spans="5:6" x14ac:dyDescent="0.25">
      <c r="E1162" s="147">
        <f t="shared" si="17"/>
        <v>1</v>
      </c>
      <c r="F1162" s="155" cm="1">
        <f t="array" aca="1" ref="F1162" ca="1">IFERROR(_xlfn.STOCKHISTORY("USD/BRL",E1162,E1162,0,0,1),Preços!$C$3)</f>
        <v>6.1798000000000002</v>
      </c>
    </row>
    <row r="1163" spans="5:6" x14ac:dyDescent="0.25">
      <c r="E1163" s="147">
        <f t="shared" si="17"/>
        <v>1</v>
      </c>
      <c r="F1163" s="155" cm="1">
        <f t="array" aca="1" ref="F1163" ca="1">IFERROR(_xlfn.STOCKHISTORY("USD/BRL",E1163,E1163,0,0,1),Preços!$C$3)</f>
        <v>6.1798000000000002</v>
      </c>
    </row>
    <row r="1164" spans="5:6" x14ac:dyDescent="0.25">
      <c r="E1164" s="147">
        <f t="shared" si="17"/>
        <v>1</v>
      </c>
      <c r="F1164" s="155" cm="1">
        <f t="array" aca="1" ref="F1164" ca="1">IFERROR(_xlfn.STOCKHISTORY("USD/BRL",E1164,E1164,0,0,1),Preços!$C$3)</f>
        <v>6.1798000000000002</v>
      </c>
    </row>
    <row r="1165" spans="5:6" x14ac:dyDescent="0.25">
      <c r="E1165" s="147">
        <f t="shared" si="17"/>
        <v>1</v>
      </c>
      <c r="F1165" s="155" cm="1">
        <f t="array" aca="1" ref="F1165" ca="1">IFERROR(_xlfn.STOCKHISTORY("USD/BRL",E1165,E1165,0,0,1),Preços!$C$3)</f>
        <v>6.1798000000000002</v>
      </c>
    </row>
    <row r="1166" spans="5:6" x14ac:dyDescent="0.25">
      <c r="E1166" s="147">
        <f t="shared" si="17"/>
        <v>1</v>
      </c>
      <c r="F1166" s="155" cm="1">
        <f t="array" aca="1" ref="F1166" ca="1">IFERROR(_xlfn.STOCKHISTORY("USD/BRL",E1166,E1166,0,0,1),Preços!$C$3)</f>
        <v>6.1798000000000002</v>
      </c>
    </row>
    <row r="1167" spans="5:6" x14ac:dyDescent="0.25">
      <c r="E1167" s="147">
        <f t="shared" si="17"/>
        <v>1</v>
      </c>
      <c r="F1167" s="155" cm="1">
        <f t="array" aca="1" ref="F1167" ca="1">IFERROR(_xlfn.STOCKHISTORY("USD/BRL",E1167,E1167,0,0,1),Preços!$C$3)</f>
        <v>6.1798000000000002</v>
      </c>
    </row>
    <row r="1168" spans="5:6" x14ac:dyDescent="0.25">
      <c r="E1168" s="147">
        <f t="shared" si="17"/>
        <v>1</v>
      </c>
      <c r="F1168" s="155" cm="1">
        <f t="array" aca="1" ref="F1168" ca="1">IFERROR(_xlfn.STOCKHISTORY("USD/BRL",E1168,E1168,0,0,1),Preços!$C$3)</f>
        <v>6.1798000000000002</v>
      </c>
    </row>
    <row r="1169" spans="5:6" x14ac:dyDescent="0.25">
      <c r="E1169" s="147">
        <f t="shared" si="17"/>
        <v>1</v>
      </c>
      <c r="F1169" s="155" cm="1">
        <f t="array" aca="1" ref="F1169" ca="1">IFERROR(_xlfn.STOCKHISTORY("USD/BRL",E1169,E1169,0,0,1),Preços!$C$3)</f>
        <v>6.1798000000000002</v>
      </c>
    </row>
    <row r="1170" spans="5:6" x14ac:dyDescent="0.25">
      <c r="E1170" s="147">
        <f t="shared" si="17"/>
        <v>1</v>
      </c>
      <c r="F1170" s="155" cm="1">
        <f t="array" aca="1" ref="F1170" ca="1">IFERROR(_xlfn.STOCKHISTORY("USD/BRL",E1170,E1170,0,0,1),Preços!$C$3)</f>
        <v>6.1798000000000002</v>
      </c>
    </row>
    <row r="1171" spans="5:6" x14ac:dyDescent="0.25">
      <c r="E1171" s="147">
        <f t="shared" si="17"/>
        <v>1</v>
      </c>
      <c r="F1171" s="155" cm="1">
        <f t="array" aca="1" ref="F1171" ca="1">IFERROR(_xlfn.STOCKHISTORY("USD/BRL",E1171,E1171,0,0,1),Preços!$C$3)</f>
        <v>6.1798000000000002</v>
      </c>
    </row>
    <row r="1172" spans="5:6" x14ac:dyDescent="0.25">
      <c r="E1172" s="147">
        <f t="shared" si="17"/>
        <v>1</v>
      </c>
      <c r="F1172" s="155" cm="1">
        <f t="array" aca="1" ref="F1172" ca="1">IFERROR(_xlfn.STOCKHISTORY("USD/BRL",E1172,E1172,0,0,1),Preços!$C$3)</f>
        <v>6.1798000000000002</v>
      </c>
    </row>
    <row r="1173" spans="5:6" x14ac:dyDescent="0.25">
      <c r="E1173" s="147">
        <f t="shared" si="17"/>
        <v>1</v>
      </c>
      <c r="F1173" s="155" cm="1">
        <f t="array" aca="1" ref="F1173" ca="1">IFERROR(_xlfn.STOCKHISTORY("USD/BRL",E1173,E1173,0,0,1),Preços!$C$3)</f>
        <v>6.1798000000000002</v>
      </c>
    </row>
    <row r="1174" spans="5:6" x14ac:dyDescent="0.25">
      <c r="E1174" s="147">
        <f t="shared" si="17"/>
        <v>1</v>
      </c>
      <c r="F1174" s="155" cm="1">
        <f t="array" aca="1" ref="F1174" ca="1">IFERROR(_xlfn.STOCKHISTORY("USD/BRL",E1174,E1174,0,0,1),Preços!$C$3)</f>
        <v>6.1798000000000002</v>
      </c>
    </row>
    <row r="1175" spans="5:6" x14ac:dyDescent="0.25">
      <c r="E1175" s="147">
        <f t="shared" si="17"/>
        <v>1</v>
      </c>
      <c r="F1175" s="155" cm="1">
        <f t="array" aca="1" ref="F1175" ca="1">IFERROR(_xlfn.STOCKHISTORY("USD/BRL",E1175,E1175,0,0,1),Preços!$C$3)</f>
        <v>6.1798000000000002</v>
      </c>
    </row>
    <row r="1176" spans="5:6" x14ac:dyDescent="0.25">
      <c r="E1176" s="147">
        <f t="shared" si="17"/>
        <v>1</v>
      </c>
      <c r="F1176" s="155" cm="1">
        <f t="array" aca="1" ref="F1176" ca="1">IFERROR(_xlfn.STOCKHISTORY("USD/BRL",E1176,E1176,0,0,1),Preços!$C$3)</f>
        <v>6.1798000000000002</v>
      </c>
    </row>
    <row r="1177" spans="5:6" x14ac:dyDescent="0.25">
      <c r="E1177" s="147">
        <f t="shared" si="17"/>
        <v>1</v>
      </c>
      <c r="F1177" s="155" cm="1">
        <f t="array" aca="1" ref="F1177" ca="1">IFERROR(_xlfn.STOCKHISTORY("USD/BRL",E1177,E1177,0,0,1),Preços!$C$3)</f>
        <v>6.1798000000000002</v>
      </c>
    </row>
    <row r="1178" spans="5:6" x14ac:dyDescent="0.25">
      <c r="E1178" s="147">
        <f t="shared" si="17"/>
        <v>1</v>
      </c>
      <c r="F1178" s="155" cm="1">
        <f t="array" aca="1" ref="F1178" ca="1">IFERROR(_xlfn.STOCKHISTORY("USD/BRL",E1178,E1178,0,0,1),Preços!$C$3)</f>
        <v>6.1798000000000002</v>
      </c>
    </row>
    <row r="1179" spans="5:6" x14ac:dyDescent="0.25">
      <c r="E1179" s="147">
        <f t="shared" si="17"/>
        <v>1</v>
      </c>
      <c r="F1179" s="155" cm="1">
        <f t="array" aca="1" ref="F1179" ca="1">IFERROR(_xlfn.STOCKHISTORY("USD/BRL",E1179,E1179,0,0,1),Preços!$C$3)</f>
        <v>6.1798000000000002</v>
      </c>
    </row>
    <row r="1180" spans="5:6" x14ac:dyDescent="0.25">
      <c r="E1180" s="147">
        <f t="shared" si="17"/>
        <v>1</v>
      </c>
      <c r="F1180" s="155" cm="1">
        <f t="array" aca="1" ref="F1180" ca="1">IFERROR(_xlfn.STOCKHISTORY("USD/BRL",E1180,E1180,0,0,1),Preços!$C$3)</f>
        <v>6.1798000000000002</v>
      </c>
    </row>
    <row r="1181" spans="5:6" x14ac:dyDescent="0.25">
      <c r="E1181" s="147">
        <f t="shared" si="17"/>
        <v>1</v>
      </c>
      <c r="F1181" s="155" cm="1">
        <f t="array" aca="1" ref="F1181" ca="1">IFERROR(_xlfn.STOCKHISTORY("USD/BRL",E1181,E1181,0,0,1),Preços!$C$3)</f>
        <v>6.1798000000000002</v>
      </c>
    </row>
    <row r="1182" spans="5:6" x14ac:dyDescent="0.25">
      <c r="E1182" s="147">
        <f t="shared" si="17"/>
        <v>1</v>
      </c>
      <c r="F1182" s="155" cm="1">
        <f t="array" aca="1" ref="F1182" ca="1">IFERROR(_xlfn.STOCKHISTORY("USD/BRL",E1182,E1182,0,0,1),Preços!$C$3)</f>
        <v>6.1798000000000002</v>
      </c>
    </row>
    <row r="1183" spans="5:6" x14ac:dyDescent="0.25">
      <c r="E1183" s="147">
        <f t="shared" si="17"/>
        <v>1</v>
      </c>
      <c r="F1183" s="155" cm="1">
        <f t="array" aca="1" ref="F1183" ca="1">IFERROR(_xlfn.STOCKHISTORY("USD/BRL",E1183,E1183,0,0,1),Preços!$C$3)</f>
        <v>6.1798000000000002</v>
      </c>
    </row>
    <row r="1184" spans="5:6" x14ac:dyDescent="0.25">
      <c r="E1184" s="147">
        <f t="shared" si="17"/>
        <v>1</v>
      </c>
      <c r="F1184" s="155" cm="1">
        <f t="array" aca="1" ref="F1184" ca="1">IFERROR(_xlfn.STOCKHISTORY("USD/BRL",E1184,E1184,0,0,1),Preços!$C$3)</f>
        <v>6.1798000000000002</v>
      </c>
    </row>
    <row r="1185" spans="5:6" x14ac:dyDescent="0.25">
      <c r="E1185" s="147">
        <f t="shared" si="17"/>
        <v>1</v>
      </c>
      <c r="F1185" s="155" cm="1">
        <f t="array" aca="1" ref="F1185" ca="1">IFERROR(_xlfn.STOCKHISTORY("USD/BRL",E1185,E1185,0,0,1),Preços!$C$3)</f>
        <v>6.1798000000000002</v>
      </c>
    </row>
    <row r="1186" spans="5:6" x14ac:dyDescent="0.25">
      <c r="E1186" s="147">
        <f t="shared" si="17"/>
        <v>1</v>
      </c>
      <c r="F1186" s="155" cm="1">
        <f t="array" aca="1" ref="F1186" ca="1">IFERROR(_xlfn.STOCKHISTORY("USD/BRL",E1186,E1186,0,0,1),Preços!$C$3)</f>
        <v>6.1798000000000002</v>
      </c>
    </row>
    <row r="1187" spans="5:6" x14ac:dyDescent="0.25">
      <c r="E1187" s="147">
        <f t="shared" si="17"/>
        <v>1</v>
      </c>
      <c r="F1187" s="155" cm="1">
        <f t="array" aca="1" ref="F1187" ca="1">IFERROR(_xlfn.STOCKHISTORY("USD/BRL",E1187,E1187,0,0,1),Preços!$C$3)</f>
        <v>6.1798000000000002</v>
      </c>
    </row>
    <row r="1188" spans="5:6" x14ac:dyDescent="0.25">
      <c r="E1188" s="147">
        <f t="shared" si="17"/>
        <v>1</v>
      </c>
      <c r="F1188" s="155" cm="1">
        <f t="array" aca="1" ref="F1188" ca="1">IFERROR(_xlfn.STOCKHISTORY("USD/BRL",E1188,E1188,0,0,1),Preços!$C$3)</f>
        <v>6.1798000000000002</v>
      </c>
    </row>
    <row r="1189" spans="5:6" x14ac:dyDescent="0.25">
      <c r="E1189" s="147">
        <f t="shared" si="17"/>
        <v>1</v>
      </c>
      <c r="F1189" s="155" cm="1">
        <f t="array" aca="1" ref="F1189" ca="1">IFERROR(_xlfn.STOCKHISTORY("USD/BRL",E1189,E1189,0,0,1),Preços!$C$3)</f>
        <v>6.1798000000000002</v>
      </c>
    </row>
    <row r="1190" spans="5:6" x14ac:dyDescent="0.25">
      <c r="E1190" s="147">
        <f t="shared" si="17"/>
        <v>1</v>
      </c>
      <c r="F1190" s="155" cm="1">
        <f t="array" aca="1" ref="F1190" ca="1">IFERROR(_xlfn.STOCKHISTORY("USD/BRL",E1190,E1190,0,0,1),Preços!$C$3)</f>
        <v>6.1798000000000002</v>
      </c>
    </row>
    <row r="1191" spans="5:6" x14ac:dyDescent="0.25">
      <c r="E1191" s="147">
        <f t="shared" si="17"/>
        <v>1</v>
      </c>
      <c r="F1191" s="155" cm="1">
        <f t="array" aca="1" ref="F1191" ca="1">IFERROR(_xlfn.STOCKHISTORY("USD/BRL",E1191,E1191,0,0,1),Preços!$C$3)</f>
        <v>6.1798000000000002</v>
      </c>
    </row>
    <row r="1192" spans="5:6" x14ac:dyDescent="0.25">
      <c r="E1192" s="147">
        <f t="shared" si="17"/>
        <v>1</v>
      </c>
      <c r="F1192" s="155" cm="1">
        <f t="array" aca="1" ref="F1192" ca="1">IFERROR(_xlfn.STOCKHISTORY("USD/BRL",E1192,E1192,0,0,1),Preços!$C$3)</f>
        <v>6.1798000000000002</v>
      </c>
    </row>
    <row r="1193" spans="5:6" x14ac:dyDescent="0.25">
      <c r="E1193" s="147">
        <f t="shared" si="17"/>
        <v>1</v>
      </c>
      <c r="F1193" s="155" cm="1">
        <f t="array" aca="1" ref="F1193" ca="1">IFERROR(_xlfn.STOCKHISTORY("USD/BRL",E1193,E1193,0,0,1),Preços!$C$3)</f>
        <v>6.1798000000000002</v>
      </c>
    </row>
    <row r="1194" spans="5:6" x14ac:dyDescent="0.25">
      <c r="E1194" s="147">
        <f t="shared" si="17"/>
        <v>1</v>
      </c>
      <c r="F1194" s="155" cm="1">
        <f t="array" aca="1" ref="F1194" ca="1">IFERROR(_xlfn.STOCKHISTORY("USD/BRL",E1194,E1194,0,0,1),Preços!$C$3)</f>
        <v>6.1798000000000002</v>
      </c>
    </row>
    <row r="1195" spans="5:6" x14ac:dyDescent="0.25">
      <c r="E1195" s="147">
        <f t="shared" si="17"/>
        <v>1</v>
      </c>
      <c r="F1195" s="155" cm="1">
        <f t="array" aca="1" ref="F1195" ca="1">IFERROR(_xlfn.STOCKHISTORY("USD/BRL",E1195,E1195,0,0,1),Preços!$C$3)</f>
        <v>6.1798000000000002</v>
      </c>
    </row>
    <row r="1196" spans="5:6" x14ac:dyDescent="0.25">
      <c r="E1196" s="147">
        <f t="shared" si="17"/>
        <v>1</v>
      </c>
      <c r="F1196" s="155" cm="1">
        <f t="array" aca="1" ref="F1196" ca="1">IFERROR(_xlfn.STOCKHISTORY("USD/BRL",E1196,E1196,0,0,1),Preços!$C$3)</f>
        <v>6.1798000000000002</v>
      </c>
    </row>
    <row r="1197" spans="5:6" x14ac:dyDescent="0.25">
      <c r="E1197" s="147">
        <f t="shared" si="17"/>
        <v>1</v>
      </c>
      <c r="F1197" s="155" cm="1">
        <f t="array" aca="1" ref="F1197" ca="1">IFERROR(_xlfn.STOCKHISTORY("USD/BRL",E1197,E1197,0,0,1),Preços!$C$3)</f>
        <v>6.1798000000000002</v>
      </c>
    </row>
    <row r="1198" spans="5:6" x14ac:dyDescent="0.25">
      <c r="E1198" s="147">
        <f t="shared" si="17"/>
        <v>1</v>
      </c>
      <c r="F1198" s="155" cm="1">
        <f t="array" aca="1" ref="F1198" ca="1">IFERROR(_xlfn.STOCKHISTORY("USD/BRL",E1198,E1198,0,0,1),Preços!$C$3)</f>
        <v>6.1798000000000002</v>
      </c>
    </row>
    <row r="1199" spans="5:6" x14ac:dyDescent="0.25">
      <c r="E1199" s="147">
        <f t="shared" si="17"/>
        <v>1</v>
      </c>
      <c r="F1199" s="155" cm="1">
        <f t="array" aca="1" ref="F1199" ca="1">IFERROR(_xlfn.STOCKHISTORY("USD/BRL",E1199,E1199,0,0,1),Preços!$C$3)</f>
        <v>6.1798000000000002</v>
      </c>
    </row>
    <row r="1200" spans="5:6" x14ac:dyDescent="0.25">
      <c r="E1200" s="147">
        <f t="shared" si="17"/>
        <v>1</v>
      </c>
      <c r="F1200" s="155" cm="1">
        <f t="array" aca="1" ref="F1200" ca="1">IFERROR(_xlfn.STOCKHISTORY("USD/BRL",E1200,E1200,0,0,1),Preços!$C$3)</f>
        <v>6.1798000000000002</v>
      </c>
    </row>
    <row r="1201" spans="5:6" x14ac:dyDescent="0.25">
      <c r="E1201" s="147">
        <f t="shared" si="17"/>
        <v>1</v>
      </c>
      <c r="F1201" s="155" cm="1">
        <f t="array" aca="1" ref="F1201" ca="1">IFERROR(_xlfn.STOCKHISTORY("USD/BRL",E1201,E1201,0,0,1),Preços!$C$3)</f>
        <v>6.1798000000000002</v>
      </c>
    </row>
    <row r="1202" spans="5:6" x14ac:dyDescent="0.25">
      <c r="E1202" s="147">
        <f t="shared" si="17"/>
        <v>1</v>
      </c>
      <c r="F1202" s="155" cm="1">
        <f t="array" aca="1" ref="F1202" ca="1">IFERROR(_xlfn.STOCKHISTORY("USD/BRL",E1202,E1202,0,0,1),Preços!$C$3)</f>
        <v>6.1798000000000002</v>
      </c>
    </row>
    <row r="1203" spans="5:6" x14ac:dyDescent="0.25">
      <c r="E1203" s="147">
        <f t="shared" si="17"/>
        <v>1</v>
      </c>
      <c r="F1203" s="155" cm="1">
        <f t="array" aca="1" ref="F1203" ca="1">IFERROR(_xlfn.STOCKHISTORY("USD/BRL",E1203,E1203,0,0,1),Preços!$C$3)</f>
        <v>6.1798000000000002</v>
      </c>
    </row>
    <row r="1204" spans="5:6" x14ac:dyDescent="0.25">
      <c r="E1204" s="147">
        <f t="shared" si="17"/>
        <v>1</v>
      </c>
      <c r="F1204" s="155" cm="1">
        <f t="array" aca="1" ref="F1204" ca="1">IFERROR(_xlfn.STOCKHISTORY("USD/BRL",E1204,E1204,0,0,1),Preços!$C$3)</f>
        <v>6.1798000000000002</v>
      </c>
    </row>
    <row r="1205" spans="5:6" x14ac:dyDescent="0.25">
      <c r="E1205" s="147">
        <f t="shared" si="17"/>
        <v>1</v>
      </c>
      <c r="F1205" s="155" cm="1">
        <f t="array" aca="1" ref="F1205" ca="1">IFERROR(_xlfn.STOCKHISTORY("USD/BRL",E1205,E1205,0,0,1),Preços!$C$3)</f>
        <v>6.1798000000000002</v>
      </c>
    </row>
    <row r="1206" spans="5:6" x14ac:dyDescent="0.25">
      <c r="E1206" s="147">
        <f t="shared" si="17"/>
        <v>1</v>
      </c>
      <c r="F1206" s="155" cm="1">
        <f t="array" aca="1" ref="F1206" ca="1">IFERROR(_xlfn.STOCKHISTORY("USD/BRL",E1206,E1206,0,0,1),Preços!$C$3)</f>
        <v>6.1798000000000002</v>
      </c>
    </row>
    <row r="1207" spans="5:6" x14ac:dyDescent="0.25">
      <c r="E1207" s="147">
        <f t="shared" si="17"/>
        <v>1</v>
      </c>
      <c r="F1207" s="155" cm="1">
        <f t="array" aca="1" ref="F1207" ca="1">IFERROR(_xlfn.STOCKHISTORY("USD/BRL",E1207,E1207,0,0,1),Preços!$C$3)</f>
        <v>6.1798000000000002</v>
      </c>
    </row>
    <row r="1208" spans="5:6" x14ac:dyDescent="0.25">
      <c r="E1208" s="147">
        <f t="shared" si="17"/>
        <v>1</v>
      </c>
      <c r="F1208" s="155" cm="1">
        <f t="array" aca="1" ref="F1208" ca="1">IFERROR(_xlfn.STOCKHISTORY("USD/BRL",E1208,E1208,0,0,1),Preços!$C$3)</f>
        <v>6.1798000000000002</v>
      </c>
    </row>
    <row r="1209" spans="5:6" x14ac:dyDescent="0.25">
      <c r="E1209" s="147">
        <f t="shared" si="17"/>
        <v>1</v>
      </c>
      <c r="F1209" s="155" cm="1">
        <f t="array" aca="1" ref="F1209" ca="1">IFERROR(_xlfn.STOCKHISTORY("USD/BRL",E1209,E1209,0,0,1),Preços!$C$3)</f>
        <v>6.1798000000000002</v>
      </c>
    </row>
    <row r="1210" spans="5:6" x14ac:dyDescent="0.25">
      <c r="E1210" s="147">
        <f t="shared" si="17"/>
        <v>1</v>
      </c>
      <c r="F1210" s="155" cm="1">
        <f t="array" aca="1" ref="F1210" ca="1">IFERROR(_xlfn.STOCKHISTORY("USD/BRL",E1210,E1210,0,0,1),Preços!$C$3)</f>
        <v>6.1798000000000002</v>
      </c>
    </row>
    <row r="1211" spans="5:6" x14ac:dyDescent="0.25">
      <c r="E1211" s="147">
        <f t="shared" si="17"/>
        <v>1</v>
      </c>
      <c r="F1211" s="155" cm="1">
        <f t="array" aca="1" ref="F1211" ca="1">IFERROR(_xlfn.STOCKHISTORY("USD/BRL",E1211,E1211,0,0,1),Preços!$C$3)</f>
        <v>6.1798000000000002</v>
      </c>
    </row>
    <row r="1212" spans="5:6" x14ac:dyDescent="0.25">
      <c r="E1212" s="147">
        <f t="shared" si="17"/>
        <v>1</v>
      </c>
      <c r="F1212" s="155" cm="1">
        <f t="array" aca="1" ref="F1212" ca="1">IFERROR(_xlfn.STOCKHISTORY("USD/BRL",E1212,E1212,0,0,1),Preços!$C$3)</f>
        <v>6.1798000000000002</v>
      </c>
    </row>
    <row r="1213" spans="5:6" x14ac:dyDescent="0.25">
      <c r="E1213" s="147">
        <f t="shared" si="17"/>
        <v>1</v>
      </c>
      <c r="F1213" s="155" cm="1">
        <f t="array" aca="1" ref="F1213" ca="1">IFERROR(_xlfn.STOCKHISTORY("USD/BRL",E1213,E1213,0,0,1),Preços!$C$3)</f>
        <v>6.1798000000000002</v>
      </c>
    </row>
    <row r="1214" spans="5:6" x14ac:dyDescent="0.25">
      <c r="E1214" s="147">
        <f t="shared" si="17"/>
        <v>1</v>
      </c>
      <c r="F1214" s="155" cm="1">
        <f t="array" aca="1" ref="F1214" ca="1">IFERROR(_xlfn.STOCKHISTORY("USD/BRL",E1214,E1214,0,0,1),Preços!$C$3)</f>
        <v>6.1798000000000002</v>
      </c>
    </row>
    <row r="1215" spans="5:6" x14ac:dyDescent="0.25">
      <c r="E1215" s="147">
        <f t="shared" si="17"/>
        <v>1</v>
      </c>
      <c r="F1215" s="155" cm="1">
        <f t="array" aca="1" ref="F1215" ca="1">IFERROR(_xlfn.STOCKHISTORY("USD/BRL",E1215,E1215,0,0,1),Preços!$C$3)</f>
        <v>6.1798000000000002</v>
      </c>
    </row>
    <row r="1216" spans="5:6" x14ac:dyDescent="0.25">
      <c r="E1216" s="147">
        <f t="shared" si="17"/>
        <v>1</v>
      </c>
      <c r="F1216" s="155" cm="1">
        <f t="array" aca="1" ref="F1216" ca="1">IFERROR(_xlfn.STOCKHISTORY("USD/BRL",E1216,E1216,0,0,1),Preços!$C$3)</f>
        <v>6.1798000000000002</v>
      </c>
    </row>
    <row r="1217" spans="5:6" x14ac:dyDescent="0.25">
      <c r="E1217" s="147">
        <f t="shared" si="17"/>
        <v>1</v>
      </c>
      <c r="F1217" s="155" cm="1">
        <f t="array" aca="1" ref="F1217" ca="1">IFERROR(_xlfn.STOCKHISTORY("USD/BRL",E1217,E1217,0,0,1),Preços!$C$3)</f>
        <v>6.1798000000000002</v>
      </c>
    </row>
    <row r="1218" spans="5:6" x14ac:dyDescent="0.25">
      <c r="E1218" s="147">
        <f t="shared" si="17"/>
        <v>1</v>
      </c>
      <c r="F1218" s="155" cm="1">
        <f t="array" aca="1" ref="F1218" ca="1">IFERROR(_xlfn.STOCKHISTORY("USD/BRL",E1218,E1218,0,0,1),Preços!$C$3)</f>
        <v>6.1798000000000002</v>
      </c>
    </row>
    <row r="1219" spans="5:6" x14ac:dyDescent="0.25">
      <c r="E1219" s="147">
        <f t="shared" si="17"/>
        <v>1</v>
      </c>
      <c r="F1219" s="155" cm="1">
        <f t="array" aca="1" ref="F1219" ca="1">IFERROR(_xlfn.STOCKHISTORY("USD/BRL",E1219,E1219,0,0,1),Preços!$C$3)</f>
        <v>6.1798000000000002</v>
      </c>
    </row>
    <row r="1220" spans="5:6" x14ac:dyDescent="0.25">
      <c r="E1220" s="147">
        <f t="shared" ref="E1220:E1283" si="18">DATE(YEAR(D1126),MONTH(D1126),1)</f>
        <v>1</v>
      </c>
      <c r="F1220" s="155" cm="1">
        <f t="array" aca="1" ref="F1220" ca="1">IFERROR(_xlfn.STOCKHISTORY("USD/BRL",E1220,E1220,0,0,1),Preços!$C$3)</f>
        <v>6.1798000000000002</v>
      </c>
    </row>
    <row r="1221" spans="5:6" x14ac:dyDescent="0.25">
      <c r="E1221" s="147">
        <f t="shared" si="18"/>
        <v>1</v>
      </c>
      <c r="F1221" s="155" cm="1">
        <f t="array" aca="1" ref="F1221" ca="1">IFERROR(_xlfn.STOCKHISTORY("USD/BRL",E1221,E1221,0,0,1),Preços!$C$3)</f>
        <v>6.1798000000000002</v>
      </c>
    </row>
    <row r="1222" spans="5:6" x14ac:dyDescent="0.25">
      <c r="E1222" s="147">
        <f t="shared" si="18"/>
        <v>1</v>
      </c>
      <c r="F1222" s="155" cm="1">
        <f t="array" aca="1" ref="F1222" ca="1">IFERROR(_xlfn.STOCKHISTORY("USD/BRL",E1222,E1222,0,0,1),Preços!$C$3)</f>
        <v>6.1798000000000002</v>
      </c>
    </row>
    <row r="1223" spans="5:6" x14ac:dyDescent="0.25">
      <c r="E1223" s="147">
        <f t="shared" si="18"/>
        <v>1</v>
      </c>
      <c r="F1223" s="155" cm="1">
        <f t="array" aca="1" ref="F1223" ca="1">IFERROR(_xlfn.STOCKHISTORY("USD/BRL",E1223,E1223,0,0,1),Preços!$C$3)</f>
        <v>6.1798000000000002</v>
      </c>
    </row>
    <row r="1224" spans="5:6" x14ac:dyDescent="0.25">
      <c r="E1224" s="147">
        <f t="shared" si="18"/>
        <v>1</v>
      </c>
      <c r="F1224" s="155" cm="1">
        <f t="array" aca="1" ref="F1224" ca="1">IFERROR(_xlfn.STOCKHISTORY("USD/BRL",E1224,E1224,0,0,1),Preços!$C$3)</f>
        <v>6.1798000000000002</v>
      </c>
    </row>
    <row r="1225" spans="5:6" x14ac:dyDescent="0.25">
      <c r="E1225" s="147">
        <f t="shared" si="18"/>
        <v>1</v>
      </c>
      <c r="F1225" s="155" cm="1">
        <f t="array" aca="1" ref="F1225" ca="1">IFERROR(_xlfn.STOCKHISTORY("USD/BRL",E1225,E1225,0,0,1),Preços!$C$3)</f>
        <v>6.1798000000000002</v>
      </c>
    </row>
    <row r="1226" spans="5:6" x14ac:dyDescent="0.25">
      <c r="E1226" s="147">
        <f t="shared" si="18"/>
        <v>1</v>
      </c>
      <c r="F1226" s="155" cm="1">
        <f t="array" aca="1" ref="F1226" ca="1">IFERROR(_xlfn.STOCKHISTORY("USD/BRL",E1226,E1226,0,0,1),Preços!$C$3)</f>
        <v>6.1798000000000002</v>
      </c>
    </row>
    <row r="1227" spans="5:6" x14ac:dyDescent="0.25">
      <c r="E1227" s="147">
        <f t="shared" si="18"/>
        <v>1</v>
      </c>
      <c r="F1227" s="155" cm="1">
        <f t="array" aca="1" ref="F1227" ca="1">IFERROR(_xlfn.STOCKHISTORY("USD/BRL",E1227,E1227,0,0,1),Preços!$C$3)</f>
        <v>6.1798000000000002</v>
      </c>
    </row>
    <row r="1228" spans="5:6" x14ac:dyDescent="0.25">
      <c r="E1228" s="147">
        <f t="shared" si="18"/>
        <v>1</v>
      </c>
      <c r="F1228" s="155" cm="1">
        <f t="array" aca="1" ref="F1228" ca="1">IFERROR(_xlfn.STOCKHISTORY("USD/BRL",E1228,E1228,0,0,1),Preços!$C$3)</f>
        <v>6.1798000000000002</v>
      </c>
    </row>
    <row r="1229" spans="5:6" x14ac:dyDescent="0.25">
      <c r="E1229" s="147">
        <f t="shared" si="18"/>
        <v>1</v>
      </c>
      <c r="F1229" s="155" cm="1">
        <f t="array" aca="1" ref="F1229" ca="1">IFERROR(_xlfn.STOCKHISTORY("USD/BRL",E1229,E1229,0,0,1),Preços!$C$3)</f>
        <v>6.1798000000000002</v>
      </c>
    </row>
    <row r="1230" spans="5:6" x14ac:dyDescent="0.25">
      <c r="E1230" s="147">
        <f t="shared" si="18"/>
        <v>1</v>
      </c>
      <c r="F1230" s="155" cm="1">
        <f t="array" aca="1" ref="F1230" ca="1">IFERROR(_xlfn.STOCKHISTORY("USD/BRL",E1230,E1230,0,0,1),Preços!$C$3)</f>
        <v>6.1798000000000002</v>
      </c>
    </row>
    <row r="1231" spans="5:6" x14ac:dyDescent="0.25">
      <c r="E1231" s="147">
        <f t="shared" si="18"/>
        <v>1</v>
      </c>
      <c r="F1231" s="155" cm="1">
        <f t="array" aca="1" ref="F1231" ca="1">IFERROR(_xlfn.STOCKHISTORY("USD/BRL",E1231,E1231,0,0,1),Preços!$C$3)</f>
        <v>6.1798000000000002</v>
      </c>
    </row>
    <row r="1232" spans="5:6" x14ac:dyDescent="0.25">
      <c r="E1232" s="147">
        <f t="shared" si="18"/>
        <v>1</v>
      </c>
      <c r="F1232" s="155" cm="1">
        <f t="array" aca="1" ref="F1232" ca="1">IFERROR(_xlfn.STOCKHISTORY("USD/BRL",E1232,E1232,0,0,1),Preços!$C$3)</f>
        <v>6.1798000000000002</v>
      </c>
    </row>
    <row r="1233" spans="5:6" x14ac:dyDescent="0.25">
      <c r="E1233" s="147">
        <f t="shared" si="18"/>
        <v>1</v>
      </c>
      <c r="F1233" s="155" cm="1">
        <f t="array" aca="1" ref="F1233" ca="1">IFERROR(_xlfn.STOCKHISTORY("USD/BRL",E1233,E1233,0,0,1),Preços!$C$3)</f>
        <v>6.1798000000000002</v>
      </c>
    </row>
    <row r="1234" spans="5:6" x14ac:dyDescent="0.25">
      <c r="E1234" s="147">
        <f t="shared" si="18"/>
        <v>1</v>
      </c>
      <c r="F1234" s="155" cm="1">
        <f t="array" aca="1" ref="F1234" ca="1">IFERROR(_xlfn.STOCKHISTORY("USD/BRL",E1234,E1234,0,0,1),Preços!$C$3)</f>
        <v>6.1798000000000002</v>
      </c>
    </row>
    <row r="1235" spans="5:6" x14ac:dyDescent="0.25">
      <c r="E1235" s="147">
        <f t="shared" si="18"/>
        <v>1</v>
      </c>
      <c r="F1235" s="155" cm="1">
        <f t="array" aca="1" ref="F1235" ca="1">IFERROR(_xlfn.STOCKHISTORY("USD/BRL",E1235,E1235,0,0,1),Preços!$C$3)</f>
        <v>6.1798000000000002</v>
      </c>
    </row>
    <row r="1236" spans="5:6" x14ac:dyDescent="0.25">
      <c r="E1236" s="147">
        <f t="shared" si="18"/>
        <v>1</v>
      </c>
      <c r="F1236" s="155" cm="1">
        <f t="array" aca="1" ref="F1236" ca="1">IFERROR(_xlfn.STOCKHISTORY("USD/BRL",E1236,E1236,0,0,1),Preços!$C$3)</f>
        <v>6.1798000000000002</v>
      </c>
    </row>
    <row r="1237" spans="5:6" x14ac:dyDescent="0.25">
      <c r="E1237" s="147">
        <f t="shared" si="18"/>
        <v>1</v>
      </c>
      <c r="F1237" s="155" cm="1">
        <f t="array" aca="1" ref="F1237" ca="1">IFERROR(_xlfn.STOCKHISTORY("USD/BRL",E1237,E1237,0,0,1),Preços!$C$3)</f>
        <v>6.1798000000000002</v>
      </c>
    </row>
    <row r="1238" spans="5:6" x14ac:dyDescent="0.25">
      <c r="E1238" s="147">
        <f t="shared" si="18"/>
        <v>1</v>
      </c>
      <c r="F1238" s="155" cm="1">
        <f t="array" aca="1" ref="F1238" ca="1">IFERROR(_xlfn.STOCKHISTORY("USD/BRL",E1238,E1238,0,0,1),Preços!$C$3)</f>
        <v>6.1798000000000002</v>
      </c>
    </row>
    <row r="1239" spans="5:6" x14ac:dyDescent="0.25">
      <c r="E1239" s="147">
        <f t="shared" si="18"/>
        <v>1</v>
      </c>
      <c r="F1239" s="155" cm="1">
        <f t="array" aca="1" ref="F1239" ca="1">IFERROR(_xlfn.STOCKHISTORY("USD/BRL",E1239,E1239,0,0,1),Preços!$C$3)</f>
        <v>6.1798000000000002</v>
      </c>
    </row>
    <row r="1240" spans="5:6" x14ac:dyDescent="0.25">
      <c r="E1240" s="147">
        <f t="shared" si="18"/>
        <v>1</v>
      </c>
      <c r="F1240" s="155" cm="1">
        <f t="array" aca="1" ref="F1240" ca="1">IFERROR(_xlfn.STOCKHISTORY("USD/BRL",E1240,E1240,0,0,1),Preços!$C$3)</f>
        <v>6.1798000000000002</v>
      </c>
    </row>
    <row r="1241" spans="5:6" x14ac:dyDescent="0.25">
      <c r="E1241" s="147">
        <f t="shared" si="18"/>
        <v>1</v>
      </c>
      <c r="F1241" s="155" cm="1">
        <f t="array" aca="1" ref="F1241" ca="1">IFERROR(_xlfn.STOCKHISTORY("USD/BRL",E1241,E1241,0,0,1),Preços!$C$3)</f>
        <v>6.1798000000000002</v>
      </c>
    </row>
    <row r="1242" spans="5:6" x14ac:dyDescent="0.25">
      <c r="E1242" s="147">
        <f t="shared" si="18"/>
        <v>1</v>
      </c>
      <c r="F1242" s="155" cm="1">
        <f t="array" aca="1" ref="F1242" ca="1">IFERROR(_xlfn.STOCKHISTORY("USD/BRL",E1242,E1242,0,0,1),Preços!$C$3)</f>
        <v>6.1798000000000002</v>
      </c>
    </row>
    <row r="1243" spans="5:6" x14ac:dyDescent="0.25">
      <c r="E1243" s="147">
        <f t="shared" si="18"/>
        <v>1</v>
      </c>
      <c r="F1243" s="155" cm="1">
        <f t="array" aca="1" ref="F1243" ca="1">IFERROR(_xlfn.STOCKHISTORY("USD/BRL",E1243,E1243,0,0,1),Preços!$C$3)</f>
        <v>6.1798000000000002</v>
      </c>
    </row>
    <row r="1244" spans="5:6" x14ac:dyDescent="0.25">
      <c r="E1244" s="147">
        <f t="shared" si="18"/>
        <v>1</v>
      </c>
      <c r="F1244" s="155" cm="1">
        <f t="array" aca="1" ref="F1244" ca="1">IFERROR(_xlfn.STOCKHISTORY("USD/BRL",E1244,E1244,0,0,1),Preços!$C$3)</f>
        <v>6.1798000000000002</v>
      </c>
    </row>
    <row r="1245" spans="5:6" x14ac:dyDescent="0.25">
      <c r="E1245" s="147">
        <f t="shared" si="18"/>
        <v>1</v>
      </c>
      <c r="F1245" s="155" cm="1">
        <f t="array" aca="1" ref="F1245" ca="1">IFERROR(_xlfn.STOCKHISTORY("USD/BRL",E1245,E1245,0,0,1),Preços!$C$3)</f>
        <v>6.1798000000000002</v>
      </c>
    </row>
    <row r="1246" spans="5:6" x14ac:dyDescent="0.25">
      <c r="E1246" s="147">
        <f t="shared" si="18"/>
        <v>1</v>
      </c>
      <c r="F1246" s="155" cm="1">
        <f t="array" aca="1" ref="F1246" ca="1">IFERROR(_xlfn.STOCKHISTORY("USD/BRL",E1246,E1246,0,0,1),Preços!$C$3)</f>
        <v>6.1798000000000002</v>
      </c>
    </row>
    <row r="1247" spans="5:6" x14ac:dyDescent="0.25">
      <c r="E1247" s="147">
        <f t="shared" si="18"/>
        <v>1</v>
      </c>
      <c r="F1247" s="155" cm="1">
        <f t="array" aca="1" ref="F1247" ca="1">IFERROR(_xlfn.STOCKHISTORY("USD/BRL",E1247,E1247,0,0,1),Preços!$C$3)</f>
        <v>6.1798000000000002</v>
      </c>
    </row>
    <row r="1248" spans="5:6" x14ac:dyDescent="0.25">
      <c r="E1248" s="147">
        <f t="shared" si="18"/>
        <v>1</v>
      </c>
      <c r="F1248" s="155" cm="1">
        <f t="array" aca="1" ref="F1248" ca="1">IFERROR(_xlfn.STOCKHISTORY("USD/BRL",E1248,E1248,0,0,1),Preços!$C$3)</f>
        <v>6.1798000000000002</v>
      </c>
    </row>
    <row r="1249" spans="5:6" x14ac:dyDescent="0.25">
      <c r="E1249" s="147">
        <f t="shared" si="18"/>
        <v>1</v>
      </c>
      <c r="F1249" s="155" cm="1">
        <f t="array" aca="1" ref="F1249" ca="1">IFERROR(_xlfn.STOCKHISTORY("USD/BRL",E1249,E1249,0,0,1),Preços!$C$3)</f>
        <v>6.1798000000000002</v>
      </c>
    </row>
    <row r="1250" spans="5:6" x14ac:dyDescent="0.25">
      <c r="E1250" s="147">
        <f t="shared" si="18"/>
        <v>1</v>
      </c>
      <c r="F1250" s="155" cm="1">
        <f t="array" aca="1" ref="F1250" ca="1">IFERROR(_xlfn.STOCKHISTORY("USD/BRL",E1250,E1250,0,0,1),Preços!$C$3)</f>
        <v>6.1798000000000002</v>
      </c>
    </row>
    <row r="1251" spans="5:6" x14ac:dyDescent="0.25">
      <c r="E1251" s="147">
        <f t="shared" si="18"/>
        <v>1</v>
      </c>
      <c r="F1251" s="155" cm="1">
        <f t="array" aca="1" ref="F1251" ca="1">IFERROR(_xlfn.STOCKHISTORY("USD/BRL",E1251,E1251,0,0,1),Preços!$C$3)</f>
        <v>6.1798000000000002</v>
      </c>
    </row>
    <row r="1252" spans="5:6" x14ac:dyDescent="0.25">
      <c r="E1252" s="147">
        <f t="shared" si="18"/>
        <v>1</v>
      </c>
      <c r="F1252" s="155" cm="1">
        <f t="array" aca="1" ref="F1252" ca="1">IFERROR(_xlfn.STOCKHISTORY("USD/BRL",E1252,E1252,0,0,1),Preços!$C$3)</f>
        <v>6.1798000000000002</v>
      </c>
    </row>
    <row r="1253" spans="5:6" x14ac:dyDescent="0.25">
      <c r="E1253" s="147">
        <f t="shared" si="18"/>
        <v>1</v>
      </c>
      <c r="F1253" s="155" cm="1">
        <f t="array" aca="1" ref="F1253" ca="1">IFERROR(_xlfn.STOCKHISTORY("USD/BRL",E1253,E1253,0,0,1),Preços!$C$3)</f>
        <v>6.1798000000000002</v>
      </c>
    </row>
    <row r="1254" spans="5:6" x14ac:dyDescent="0.25">
      <c r="E1254" s="147">
        <f t="shared" si="18"/>
        <v>1</v>
      </c>
      <c r="F1254" s="155" cm="1">
        <f t="array" aca="1" ref="F1254" ca="1">IFERROR(_xlfn.STOCKHISTORY("USD/BRL",E1254,E1254,0,0,1),Preços!$C$3)</f>
        <v>6.1798000000000002</v>
      </c>
    </row>
    <row r="1255" spans="5:6" x14ac:dyDescent="0.25">
      <c r="E1255" s="147">
        <f t="shared" si="18"/>
        <v>1</v>
      </c>
      <c r="F1255" s="155" cm="1">
        <f t="array" aca="1" ref="F1255" ca="1">IFERROR(_xlfn.STOCKHISTORY("USD/BRL",E1255,E1255,0,0,1),Preços!$C$3)</f>
        <v>6.1798000000000002</v>
      </c>
    </row>
    <row r="1256" spans="5:6" x14ac:dyDescent="0.25">
      <c r="E1256" s="147">
        <f t="shared" si="18"/>
        <v>1</v>
      </c>
      <c r="F1256" s="155" cm="1">
        <f t="array" aca="1" ref="F1256" ca="1">IFERROR(_xlfn.STOCKHISTORY("USD/BRL",E1256,E1256,0,0,1),Preços!$C$3)</f>
        <v>6.1798000000000002</v>
      </c>
    </row>
    <row r="1257" spans="5:6" x14ac:dyDescent="0.25">
      <c r="E1257" s="147">
        <f t="shared" si="18"/>
        <v>1</v>
      </c>
      <c r="F1257" s="155" cm="1">
        <f t="array" aca="1" ref="F1257" ca="1">IFERROR(_xlfn.STOCKHISTORY("USD/BRL",E1257,E1257,0,0,1),Preços!$C$3)</f>
        <v>6.1798000000000002</v>
      </c>
    </row>
    <row r="1258" spans="5:6" x14ac:dyDescent="0.25">
      <c r="E1258" s="147">
        <f t="shared" si="18"/>
        <v>1</v>
      </c>
      <c r="F1258" s="155" cm="1">
        <f t="array" aca="1" ref="F1258" ca="1">IFERROR(_xlfn.STOCKHISTORY("USD/BRL",E1258,E1258,0,0,1),Preços!$C$3)</f>
        <v>6.1798000000000002</v>
      </c>
    </row>
    <row r="1259" spans="5:6" x14ac:dyDescent="0.25">
      <c r="E1259" s="147">
        <f t="shared" si="18"/>
        <v>1</v>
      </c>
      <c r="F1259" s="155" cm="1">
        <f t="array" aca="1" ref="F1259" ca="1">IFERROR(_xlfn.STOCKHISTORY("USD/BRL",E1259,E1259,0,0,1),Preços!$C$3)</f>
        <v>6.1798000000000002</v>
      </c>
    </row>
    <row r="1260" spans="5:6" x14ac:dyDescent="0.25">
      <c r="E1260" s="147">
        <f t="shared" si="18"/>
        <v>1</v>
      </c>
      <c r="F1260" s="155" cm="1">
        <f t="array" aca="1" ref="F1260" ca="1">IFERROR(_xlfn.STOCKHISTORY("USD/BRL",E1260,E1260,0,0,1),Preços!$C$3)</f>
        <v>6.1798000000000002</v>
      </c>
    </row>
    <row r="1261" spans="5:6" x14ac:dyDescent="0.25">
      <c r="E1261" s="147">
        <f t="shared" si="18"/>
        <v>1</v>
      </c>
      <c r="F1261" s="155" cm="1">
        <f t="array" aca="1" ref="F1261" ca="1">IFERROR(_xlfn.STOCKHISTORY("USD/BRL",E1261,E1261,0,0,1),Preços!$C$3)</f>
        <v>6.1798000000000002</v>
      </c>
    </row>
    <row r="1262" spans="5:6" x14ac:dyDescent="0.25">
      <c r="E1262" s="147">
        <f t="shared" si="18"/>
        <v>1</v>
      </c>
      <c r="F1262" s="155" cm="1">
        <f t="array" aca="1" ref="F1262" ca="1">IFERROR(_xlfn.STOCKHISTORY("USD/BRL",E1262,E1262,0,0,1),Preços!$C$3)</f>
        <v>6.1798000000000002</v>
      </c>
    </row>
    <row r="1263" spans="5:6" x14ac:dyDescent="0.25">
      <c r="E1263" s="147">
        <f t="shared" si="18"/>
        <v>1</v>
      </c>
      <c r="F1263" s="155" cm="1">
        <f t="array" aca="1" ref="F1263" ca="1">IFERROR(_xlfn.STOCKHISTORY("USD/BRL",E1263,E1263,0,0,1),Preços!$C$3)</f>
        <v>6.1798000000000002</v>
      </c>
    </row>
    <row r="1264" spans="5:6" x14ac:dyDescent="0.25">
      <c r="E1264" s="147">
        <f t="shared" si="18"/>
        <v>1</v>
      </c>
      <c r="F1264" s="155" cm="1">
        <f t="array" aca="1" ref="F1264" ca="1">IFERROR(_xlfn.STOCKHISTORY("USD/BRL",E1264,E1264,0,0,1),Preços!$C$3)</f>
        <v>6.1798000000000002</v>
      </c>
    </row>
    <row r="1265" spans="5:6" x14ac:dyDescent="0.25">
      <c r="E1265" s="147">
        <f t="shared" si="18"/>
        <v>1</v>
      </c>
      <c r="F1265" s="155" cm="1">
        <f t="array" aca="1" ref="F1265" ca="1">IFERROR(_xlfn.STOCKHISTORY("USD/BRL",E1265,E1265,0,0,1),Preços!$C$3)</f>
        <v>6.1798000000000002</v>
      </c>
    </row>
    <row r="1266" spans="5:6" x14ac:dyDescent="0.25">
      <c r="E1266" s="147">
        <f t="shared" si="18"/>
        <v>1</v>
      </c>
      <c r="F1266" s="155" cm="1">
        <f t="array" aca="1" ref="F1266" ca="1">IFERROR(_xlfn.STOCKHISTORY("USD/BRL",E1266,E1266,0,0,1),Preços!$C$3)</f>
        <v>6.1798000000000002</v>
      </c>
    </row>
    <row r="1267" spans="5:6" x14ac:dyDescent="0.25">
      <c r="E1267" s="147">
        <f t="shared" si="18"/>
        <v>1</v>
      </c>
      <c r="F1267" s="155" cm="1">
        <f t="array" aca="1" ref="F1267" ca="1">IFERROR(_xlfn.STOCKHISTORY("USD/BRL",E1267,E1267,0,0,1),Preços!$C$3)</f>
        <v>6.1798000000000002</v>
      </c>
    </row>
    <row r="1268" spans="5:6" x14ac:dyDescent="0.25">
      <c r="E1268" s="147">
        <f t="shared" si="18"/>
        <v>1</v>
      </c>
      <c r="F1268" s="155" cm="1">
        <f t="array" aca="1" ref="F1268" ca="1">IFERROR(_xlfn.STOCKHISTORY("USD/BRL",E1268,E1268,0,0,1),Preços!$C$3)</f>
        <v>6.1798000000000002</v>
      </c>
    </row>
    <row r="1269" spans="5:6" x14ac:dyDescent="0.25">
      <c r="E1269" s="147">
        <f t="shared" si="18"/>
        <v>1</v>
      </c>
      <c r="F1269" s="155" cm="1">
        <f t="array" aca="1" ref="F1269" ca="1">IFERROR(_xlfn.STOCKHISTORY("USD/BRL",E1269,E1269,0,0,1),Preços!$C$3)</f>
        <v>6.1798000000000002</v>
      </c>
    </row>
    <row r="1270" spans="5:6" x14ac:dyDescent="0.25">
      <c r="E1270" s="147">
        <f t="shared" si="18"/>
        <v>1</v>
      </c>
      <c r="F1270" s="155" cm="1">
        <f t="array" aca="1" ref="F1270" ca="1">IFERROR(_xlfn.STOCKHISTORY("USD/BRL",E1270,E1270,0,0,1),Preços!$C$3)</f>
        <v>6.1798000000000002</v>
      </c>
    </row>
    <row r="1271" spans="5:6" x14ac:dyDescent="0.25">
      <c r="E1271" s="147">
        <f t="shared" si="18"/>
        <v>1</v>
      </c>
      <c r="F1271" s="155" cm="1">
        <f t="array" aca="1" ref="F1271" ca="1">IFERROR(_xlfn.STOCKHISTORY("USD/BRL",E1271,E1271,0,0,1),Preços!$C$3)</f>
        <v>6.1798000000000002</v>
      </c>
    </row>
    <row r="1272" spans="5:6" x14ac:dyDescent="0.25">
      <c r="E1272" s="147">
        <f t="shared" si="18"/>
        <v>1</v>
      </c>
      <c r="F1272" s="155" cm="1">
        <f t="array" aca="1" ref="F1272" ca="1">IFERROR(_xlfn.STOCKHISTORY("USD/BRL",E1272,E1272,0,0,1),Preços!$C$3)</f>
        <v>6.1798000000000002</v>
      </c>
    </row>
    <row r="1273" spans="5:6" x14ac:dyDescent="0.25">
      <c r="E1273" s="147">
        <f t="shared" si="18"/>
        <v>1</v>
      </c>
      <c r="F1273" s="155" cm="1">
        <f t="array" aca="1" ref="F1273" ca="1">IFERROR(_xlfn.STOCKHISTORY("USD/BRL",E1273,E1273,0,0,1),Preços!$C$3)</f>
        <v>6.1798000000000002</v>
      </c>
    </row>
    <row r="1274" spans="5:6" x14ac:dyDescent="0.25">
      <c r="E1274" s="147">
        <f t="shared" si="18"/>
        <v>1</v>
      </c>
      <c r="F1274" s="155" cm="1">
        <f t="array" aca="1" ref="F1274" ca="1">IFERROR(_xlfn.STOCKHISTORY("USD/BRL",E1274,E1274,0,0,1),Preços!$C$3)</f>
        <v>6.1798000000000002</v>
      </c>
    </row>
    <row r="1275" spans="5:6" x14ac:dyDescent="0.25">
      <c r="E1275" s="147">
        <f t="shared" si="18"/>
        <v>1</v>
      </c>
      <c r="F1275" s="155" cm="1">
        <f t="array" aca="1" ref="F1275" ca="1">IFERROR(_xlfn.STOCKHISTORY("USD/BRL",E1275,E1275,0,0,1),Preços!$C$3)</f>
        <v>6.1798000000000002</v>
      </c>
    </row>
    <row r="1276" spans="5:6" x14ac:dyDescent="0.25">
      <c r="E1276" s="147">
        <f t="shared" si="18"/>
        <v>1</v>
      </c>
      <c r="F1276" s="155" cm="1">
        <f t="array" aca="1" ref="F1276" ca="1">IFERROR(_xlfn.STOCKHISTORY("USD/BRL",E1276,E1276,0,0,1),Preços!$C$3)</f>
        <v>6.1798000000000002</v>
      </c>
    </row>
    <row r="1277" spans="5:6" x14ac:dyDescent="0.25">
      <c r="E1277" s="147">
        <f t="shared" si="18"/>
        <v>1</v>
      </c>
      <c r="F1277" s="155" cm="1">
        <f t="array" aca="1" ref="F1277" ca="1">IFERROR(_xlfn.STOCKHISTORY("USD/BRL",E1277,E1277,0,0,1),Preços!$C$3)</f>
        <v>6.1798000000000002</v>
      </c>
    </row>
    <row r="1278" spans="5:6" x14ac:dyDescent="0.25">
      <c r="E1278" s="147">
        <f t="shared" si="18"/>
        <v>1</v>
      </c>
      <c r="F1278" s="155" cm="1">
        <f t="array" aca="1" ref="F1278" ca="1">IFERROR(_xlfn.STOCKHISTORY("USD/BRL",E1278,E1278,0,0,1),Preços!$C$3)</f>
        <v>6.1798000000000002</v>
      </c>
    </row>
    <row r="1279" spans="5:6" x14ac:dyDescent="0.25">
      <c r="E1279" s="147">
        <f t="shared" si="18"/>
        <v>1</v>
      </c>
      <c r="F1279" s="155" cm="1">
        <f t="array" aca="1" ref="F1279" ca="1">IFERROR(_xlfn.STOCKHISTORY("USD/BRL",E1279,E1279,0,0,1),Preços!$C$3)</f>
        <v>6.1798000000000002</v>
      </c>
    </row>
    <row r="1280" spans="5:6" x14ac:dyDescent="0.25">
      <c r="E1280" s="147">
        <f t="shared" si="18"/>
        <v>1</v>
      </c>
      <c r="F1280" s="155" cm="1">
        <f t="array" aca="1" ref="F1280" ca="1">IFERROR(_xlfn.STOCKHISTORY("USD/BRL",E1280,E1280,0,0,1),Preços!$C$3)</f>
        <v>6.1798000000000002</v>
      </c>
    </row>
    <row r="1281" spans="5:6" x14ac:dyDescent="0.25">
      <c r="E1281" s="147">
        <f t="shared" si="18"/>
        <v>1</v>
      </c>
      <c r="F1281" s="155" cm="1">
        <f t="array" aca="1" ref="F1281" ca="1">IFERROR(_xlfn.STOCKHISTORY("USD/BRL",E1281,E1281,0,0,1),Preços!$C$3)</f>
        <v>6.1798000000000002</v>
      </c>
    </row>
    <row r="1282" spans="5:6" x14ac:dyDescent="0.25">
      <c r="E1282" s="147">
        <f t="shared" si="18"/>
        <v>1</v>
      </c>
      <c r="F1282" s="155" cm="1">
        <f t="array" aca="1" ref="F1282" ca="1">IFERROR(_xlfn.STOCKHISTORY("USD/BRL",E1282,E1282,0,0,1),Preços!$C$3)</f>
        <v>6.1798000000000002</v>
      </c>
    </row>
    <row r="1283" spans="5:6" x14ac:dyDescent="0.25">
      <c r="E1283" s="147">
        <f t="shared" si="18"/>
        <v>1</v>
      </c>
      <c r="F1283" s="155" cm="1">
        <f t="array" aca="1" ref="F1283" ca="1">IFERROR(_xlfn.STOCKHISTORY("USD/BRL",E1283,E1283,0,0,1),Preços!$C$3)</f>
        <v>6.1798000000000002</v>
      </c>
    </row>
    <row r="1284" spans="5:6" x14ac:dyDescent="0.25">
      <c r="E1284" s="147">
        <f t="shared" ref="E1284:E1347" si="19">DATE(YEAR(D1190),MONTH(D1190),1)</f>
        <v>1</v>
      </c>
      <c r="F1284" s="155" cm="1">
        <f t="array" aca="1" ref="F1284" ca="1">IFERROR(_xlfn.STOCKHISTORY("USD/BRL",E1284,E1284,0,0,1),Preços!$C$3)</f>
        <v>6.1798000000000002</v>
      </c>
    </row>
    <row r="1285" spans="5:6" x14ac:dyDescent="0.25">
      <c r="E1285" s="147">
        <f t="shared" si="19"/>
        <v>1</v>
      </c>
      <c r="F1285" s="155" cm="1">
        <f t="array" aca="1" ref="F1285" ca="1">IFERROR(_xlfn.STOCKHISTORY("USD/BRL",E1285,E1285,0,0,1),Preços!$C$3)</f>
        <v>6.1798000000000002</v>
      </c>
    </row>
    <row r="1286" spans="5:6" x14ac:dyDescent="0.25">
      <c r="E1286" s="147">
        <f t="shared" si="19"/>
        <v>1</v>
      </c>
      <c r="F1286" s="155" cm="1">
        <f t="array" aca="1" ref="F1286" ca="1">IFERROR(_xlfn.STOCKHISTORY("USD/BRL",E1286,E1286,0,0,1),Preços!$C$3)</f>
        <v>6.1798000000000002</v>
      </c>
    </row>
    <row r="1287" spans="5:6" x14ac:dyDescent="0.25">
      <c r="E1287" s="147">
        <f t="shared" si="19"/>
        <v>1</v>
      </c>
      <c r="F1287" s="155" cm="1">
        <f t="array" aca="1" ref="F1287" ca="1">IFERROR(_xlfn.STOCKHISTORY("USD/BRL",E1287,E1287,0,0,1),Preços!$C$3)</f>
        <v>6.1798000000000002</v>
      </c>
    </row>
    <row r="1288" spans="5:6" x14ac:dyDescent="0.25">
      <c r="E1288" s="147">
        <f t="shared" si="19"/>
        <v>1</v>
      </c>
      <c r="F1288" s="155" cm="1">
        <f t="array" aca="1" ref="F1288" ca="1">IFERROR(_xlfn.STOCKHISTORY("USD/BRL",E1288,E1288,0,0,1),Preços!$C$3)</f>
        <v>6.1798000000000002</v>
      </c>
    </row>
    <row r="1289" spans="5:6" x14ac:dyDescent="0.25">
      <c r="E1289" s="147">
        <f t="shared" si="19"/>
        <v>1</v>
      </c>
      <c r="F1289" s="155" cm="1">
        <f t="array" aca="1" ref="F1289" ca="1">IFERROR(_xlfn.STOCKHISTORY("USD/BRL",E1289,E1289,0,0,1),Preços!$C$3)</f>
        <v>6.1798000000000002</v>
      </c>
    </row>
    <row r="1290" spans="5:6" x14ac:dyDescent="0.25">
      <c r="E1290" s="147">
        <f t="shared" si="19"/>
        <v>1</v>
      </c>
      <c r="F1290" s="155" cm="1">
        <f t="array" aca="1" ref="F1290" ca="1">IFERROR(_xlfn.STOCKHISTORY("USD/BRL",E1290,E1290,0,0,1),Preços!$C$3)</f>
        <v>6.1798000000000002</v>
      </c>
    </row>
    <row r="1291" spans="5:6" x14ac:dyDescent="0.25">
      <c r="E1291" s="147">
        <f t="shared" si="19"/>
        <v>1</v>
      </c>
      <c r="F1291" s="155" cm="1">
        <f t="array" aca="1" ref="F1291" ca="1">IFERROR(_xlfn.STOCKHISTORY("USD/BRL",E1291,E1291,0,0,1),Preços!$C$3)</f>
        <v>6.1798000000000002</v>
      </c>
    </row>
    <row r="1292" spans="5:6" x14ac:dyDescent="0.25">
      <c r="E1292" s="147">
        <f t="shared" si="19"/>
        <v>1</v>
      </c>
      <c r="F1292" s="155" cm="1">
        <f t="array" aca="1" ref="F1292" ca="1">IFERROR(_xlfn.STOCKHISTORY("USD/BRL",E1292,E1292,0,0,1),Preços!$C$3)</f>
        <v>6.1798000000000002</v>
      </c>
    </row>
    <row r="1293" spans="5:6" x14ac:dyDescent="0.25">
      <c r="E1293" s="147">
        <f t="shared" si="19"/>
        <v>1</v>
      </c>
      <c r="F1293" s="155" cm="1">
        <f t="array" aca="1" ref="F1293" ca="1">IFERROR(_xlfn.STOCKHISTORY("USD/BRL",E1293,E1293,0,0,1),Preços!$C$3)</f>
        <v>6.1798000000000002</v>
      </c>
    </row>
    <row r="1294" spans="5:6" x14ac:dyDescent="0.25">
      <c r="E1294" s="147">
        <f t="shared" si="19"/>
        <v>1</v>
      </c>
      <c r="F1294" s="155" cm="1">
        <f t="array" aca="1" ref="F1294" ca="1">IFERROR(_xlfn.STOCKHISTORY("USD/BRL",E1294,E1294,0,0,1),Preços!$C$3)</f>
        <v>6.1798000000000002</v>
      </c>
    </row>
    <row r="1295" spans="5:6" x14ac:dyDescent="0.25">
      <c r="E1295" s="147">
        <f t="shared" si="19"/>
        <v>1</v>
      </c>
      <c r="F1295" s="155" cm="1">
        <f t="array" aca="1" ref="F1295" ca="1">IFERROR(_xlfn.STOCKHISTORY("USD/BRL",E1295,E1295,0,0,1),Preços!$C$3)</f>
        <v>6.1798000000000002</v>
      </c>
    </row>
    <row r="1296" spans="5:6" x14ac:dyDescent="0.25">
      <c r="E1296" s="147">
        <f t="shared" si="19"/>
        <v>1</v>
      </c>
      <c r="F1296" s="155" cm="1">
        <f t="array" aca="1" ref="F1296" ca="1">IFERROR(_xlfn.STOCKHISTORY("USD/BRL",E1296,E1296,0,0,1),Preços!$C$3)</f>
        <v>6.1798000000000002</v>
      </c>
    </row>
    <row r="1297" spans="5:6" x14ac:dyDescent="0.25">
      <c r="E1297" s="147">
        <f t="shared" si="19"/>
        <v>1</v>
      </c>
      <c r="F1297" s="155" cm="1">
        <f t="array" aca="1" ref="F1297" ca="1">IFERROR(_xlfn.STOCKHISTORY("USD/BRL",E1297,E1297,0,0,1),Preços!$C$3)</f>
        <v>6.1798000000000002</v>
      </c>
    </row>
    <row r="1298" spans="5:6" x14ac:dyDescent="0.25">
      <c r="E1298" s="147">
        <f t="shared" si="19"/>
        <v>1</v>
      </c>
      <c r="F1298" s="155" cm="1">
        <f t="array" aca="1" ref="F1298" ca="1">IFERROR(_xlfn.STOCKHISTORY("USD/BRL",E1298,E1298,0,0,1),Preços!$C$3)</f>
        <v>6.1798000000000002</v>
      </c>
    </row>
    <row r="1299" spans="5:6" x14ac:dyDescent="0.25">
      <c r="E1299" s="147">
        <f t="shared" si="19"/>
        <v>1</v>
      </c>
      <c r="F1299" s="155" cm="1">
        <f t="array" aca="1" ref="F1299" ca="1">IFERROR(_xlfn.STOCKHISTORY("USD/BRL",E1299,E1299,0,0,1),Preços!$C$3)</f>
        <v>6.1798000000000002</v>
      </c>
    </row>
    <row r="1300" spans="5:6" x14ac:dyDescent="0.25">
      <c r="E1300" s="147">
        <f t="shared" si="19"/>
        <v>1</v>
      </c>
      <c r="F1300" s="155" cm="1">
        <f t="array" aca="1" ref="F1300" ca="1">IFERROR(_xlfn.STOCKHISTORY("USD/BRL",E1300,E1300,0,0,1),Preços!$C$3)</f>
        <v>6.1798000000000002</v>
      </c>
    </row>
    <row r="1301" spans="5:6" x14ac:dyDescent="0.25">
      <c r="E1301" s="147">
        <f t="shared" si="19"/>
        <v>1</v>
      </c>
      <c r="F1301" s="155" cm="1">
        <f t="array" aca="1" ref="F1301" ca="1">IFERROR(_xlfn.STOCKHISTORY("USD/BRL",E1301,E1301,0,0,1),Preços!$C$3)</f>
        <v>6.1798000000000002</v>
      </c>
    </row>
    <row r="1302" spans="5:6" x14ac:dyDescent="0.25">
      <c r="E1302" s="147">
        <f t="shared" si="19"/>
        <v>1</v>
      </c>
      <c r="F1302" s="155" cm="1">
        <f t="array" aca="1" ref="F1302" ca="1">IFERROR(_xlfn.STOCKHISTORY("USD/BRL",E1302,E1302,0,0,1),Preços!$C$3)</f>
        <v>6.1798000000000002</v>
      </c>
    </row>
    <row r="1303" spans="5:6" x14ac:dyDescent="0.25">
      <c r="E1303" s="147">
        <f t="shared" si="19"/>
        <v>1</v>
      </c>
      <c r="F1303" s="155" cm="1">
        <f t="array" aca="1" ref="F1303" ca="1">IFERROR(_xlfn.STOCKHISTORY("USD/BRL",E1303,E1303,0,0,1),Preços!$C$3)</f>
        <v>6.1798000000000002</v>
      </c>
    </row>
    <row r="1304" spans="5:6" x14ac:dyDescent="0.25">
      <c r="E1304" s="147">
        <f t="shared" si="19"/>
        <v>1</v>
      </c>
      <c r="F1304" s="155" cm="1">
        <f t="array" aca="1" ref="F1304" ca="1">IFERROR(_xlfn.STOCKHISTORY("USD/BRL",E1304,E1304,0,0,1),Preços!$C$3)</f>
        <v>6.1798000000000002</v>
      </c>
    </row>
    <row r="1305" spans="5:6" x14ac:dyDescent="0.25">
      <c r="E1305" s="147">
        <f t="shared" si="19"/>
        <v>1</v>
      </c>
      <c r="F1305" s="155" cm="1">
        <f t="array" aca="1" ref="F1305" ca="1">IFERROR(_xlfn.STOCKHISTORY("USD/BRL",E1305,E1305,0,0,1),Preços!$C$3)</f>
        <v>6.1798000000000002</v>
      </c>
    </row>
    <row r="1306" spans="5:6" x14ac:dyDescent="0.25">
      <c r="E1306" s="147">
        <f t="shared" si="19"/>
        <v>1</v>
      </c>
      <c r="F1306" s="155" cm="1">
        <f t="array" aca="1" ref="F1306" ca="1">IFERROR(_xlfn.STOCKHISTORY("USD/BRL",E1306,E1306,0,0,1),Preços!$C$3)</f>
        <v>6.1798000000000002</v>
      </c>
    </row>
    <row r="1307" spans="5:6" x14ac:dyDescent="0.25">
      <c r="E1307" s="147">
        <f t="shared" si="19"/>
        <v>1</v>
      </c>
      <c r="F1307" s="155" cm="1">
        <f t="array" aca="1" ref="F1307" ca="1">IFERROR(_xlfn.STOCKHISTORY("USD/BRL",E1307,E1307,0,0,1),Preços!$C$3)</f>
        <v>6.1798000000000002</v>
      </c>
    </row>
    <row r="1308" spans="5:6" x14ac:dyDescent="0.25">
      <c r="E1308" s="147">
        <f t="shared" si="19"/>
        <v>1</v>
      </c>
      <c r="F1308" s="155" cm="1">
        <f t="array" aca="1" ref="F1308" ca="1">IFERROR(_xlfn.STOCKHISTORY("USD/BRL",E1308,E1308,0,0,1),Preços!$C$3)</f>
        <v>6.1798000000000002</v>
      </c>
    </row>
    <row r="1309" spans="5:6" x14ac:dyDescent="0.25">
      <c r="E1309" s="147">
        <f t="shared" si="19"/>
        <v>1</v>
      </c>
      <c r="F1309" s="155" cm="1">
        <f t="array" aca="1" ref="F1309" ca="1">IFERROR(_xlfn.STOCKHISTORY("USD/BRL",E1309,E1309,0,0,1),Preços!$C$3)</f>
        <v>6.1798000000000002</v>
      </c>
    </row>
    <row r="1310" spans="5:6" x14ac:dyDescent="0.25">
      <c r="E1310" s="147">
        <f t="shared" si="19"/>
        <v>1</v>
      </c>
      <c r="F1310" s="155" cm="1">
        <f t="array" aca="1" ref="F1310" ca="1">IFERROR(_xlfn.STOCKHISTORY("USD/BRL",E1310,E1310,0,0,1),Preços!$C$3)</f>
        <v>6.1798000000000002</v>
      </c>
    </row>
    <row r="1311" spans="5:6" x14ac:dyDescent="0.25">
      <c r="E1311" s="147">
        <f t="shared" si="19"/>
        <v>1</v>
      </c>
      <c r="F1311" s="155" cm="1">
        <f t="array" aca="1" ref="F1311" ca="1">IFERROR(_xlfn.STOCKHISTORY("USD/BRL",E1311,E1311,0,0,1),Preços!$C$3)</f>
        <v>6.1798000000000002</v>
      </c>
    </row>
    <row r="1312" spans="5:6" x14ac:dyDescent="0.25">
      <c r="E1312" s="147">
        <f t="shared" si="19"/>
        <v>1</v>
      </c>
      <c r="F1312" s="155" cm="1">
        <f t="array" aca="1" ref="F1312" ca="1">IFERROR(_xlfn.STOCKHISTORY("USD/BRL",E1312,E1312,0,0,1),Preços!$C$3)</f>
        <v>6.1798000000000002</v>
      </c>
    </row>
    <row r="1313" spans="5:6" x14ac:dyDescent="0.25">
      <c r="E1313" s="147">
        <f t="shared" si="19"/>
        <v>1</v>
      </c>
      <c r="F1313" s="155" cm="1">
        <f t="array" aca="1" ref="F1313" ca="1">IFERROR(_xlfn.STOCKHISTORY("USD/BRL",E1313,E1313,0,0,1),Preços!$C$3)</f>
        <v>6.1798000000000002</v>
      </c>
    </row>
    <row r="1314" spans="5:6" x14ac:dyDescent="0.25">
      <c r="E1314" s="147">
        <f t="shared" si="19"/>
        <v>1</v>
      </c>
      <c r="F1314" s="155" cm="1">
        <f t="array" aca="1" ref="F1314" ca="1">IFERROR(_xlfn.STOCKHISTORY("USD/BRL",E1314,E1314,0,0,1),Preços!$C$3)</f>
        <v>6.1798000000000002</v>
      </c>
    </row>
    <row r="1315" spans="5:6" x14ac:dyDescent="0.25">
      <c r="E1315" s="147">
        <f t="shared" si="19"/>
        <v>1</v>
      </c>
      <c r="F1315" s="155" cm="1">
        <f t="array" aca="1" ref="F1315" ca="1">IFERROR(_xlfn.STOCKHISTORY("USD/BRL",E1315,E1315,0,0,1),Preços!$C$3)</f>
        <v>6.1798000000000002</v>
      </c>
    </row>
    <row r="1316" spans="5:6" x14ac:dyDescent="0.25">
      <c r="E1316" s="147">
        <f t="shared" si="19"/>
        <v>1</v>
      </c>
      <c r="F1316" s="155" cm="1">
        <f t="array" aca="1" ref="F1316" ca="1">IFERROR(_xlfn.STOCKHISTORY("USD/BRL",E1316,E1316,0,0,1),Preços!$C$3)</f>
        <v>6.1798000000000002</v>
      </c>
    </row>
    <row r="1317" spans="5:6" x14ac:dyDescent="0.25">
      <c r="E1317" s="147">
        <f t="shared" si="19"/>
        <v>1</v>
      </c>
      <c r="F1317" s="155" cm="1">
        <f t="array" aca="1" ref="F1317" ca="1">IFERROR(_xlfn.STOCKHISTORY("USD/BRL",E1317,E1317,0,0,1),Preços!$C$3)</f>
        <v>6.1798000000000002</v>
      </c>
    </row>
    <row r="1318" spans="5:6" x14ac:dyDescent="0.25">
      <c r="E1318" s="147">
        <f t="shared" si="19"/>
        <v>1</v>
      </c>
      <c r="F1318" s="155" cm="1">
        <f t="array" aca="1" ref="F1318" ca="1">IFERROR(_xlfn.STOCKHISTORY("USD/BRL",E1318,E1318,0,0,1),Preços!$C$3)</f>
        <v>6.1798000000000002</v>
      </c>
    </row>
    <row r="1319" spans="5:6" x14ac:dyDescent="0.25">
      <c r="E1319" s="147">
        <f t="shared" si="19"/>
        <v>1</v>
      </c>
      <c r="F1319" s="155" cm="1">
        <f t="array" aca="1" ref="F1319" ca="1">IFERROR(_xlfn.STOCKHISTORY("USD/BRL",E1319,E1319,0,0,1),Preços!$C$3)</f>
        <v>6.1798000000000002</v>
      </c>
    </row>
    <row r="1320" spans="5:6" x14ac:dyDescent="0.25">
      <c r="E1320" s="147">
        <f t="shared" si="19"/>
        <v>1</v>
      </c>
      <c r="F1320" s="155" cm="1">
        <f t="array" aca="1" ref="F1320" ca="1">IFERROR(_xlfn.STOCKHISTORY("USD/BRL",E1320,E1320,0,0,1),Preços!$C$3)</f>
        <v>6.1798000000000002</v>
      </c>
    </row>
    <row r="1321" spans="5:6" x14ac:dyDescent="0.25">
      <c r="E1321" s="147">
        <f t="shared" si="19"/>
        <v>1</v>
      </c>
      <c r="F1321" s="155" cm="1">
        <f t="array" aca="1" ref="F1321" ca="1">IFERROR(_xlfn.STOCKHISTORY("USD/BRL",E1321,E1321,0,0,1),Preços!$C$3)</f>
        <v>6.1798000000000002</v>
      </c>
    </row>
    <row r="1322" spans="5:6" x14ac:dyDescent="0.25">
      <c r="E1322" s="147">
        <f t="shared" si="19"/>
        <v>1</v>
      </c>
      <c r="F1322" s="155" cm="1">
        <f t="array" aca="1" ref="F1322" ca="1">IFERROR(_xlfn.STOCKHISTORY("USD/BRL",E1322,E1322,0,0,1),Preços!$C$3)</f>
        <v>6.1798000000000002</v>
      </c>
    </row>
    <row r="1323" spans="5:6" x14ac:dyDescent="0.25">
      <c r="E1323" s="147">
        <f t="shared" si="19"/>
        <v>1</v>
      </c>
      <c r="F1323" s="155" cm="1">
        <f t="array" aca="1" ref="F1323" ca="1">IFERROR(_xlfn.STOCKHISTORY("USD/BRL",E1323,E1323,0,0,1),Preços!$C$3)</f>
        <v>6.1798000000000002</v>
      </c>
    </row>
    <row r="1324" spans="5:6" x14ac:dyDescent="0.25">
      <c r="E1324" s="147">
        <f t="shared" si="19"/>
        <v>1</v>
      </c>
      <c r="F1324" s="155" cm="1">
        <f t="array" aca="1" ref="F1324" ca="1">IFERROR(_xlfn.STOCKHISTORY("USD/BRL",E1324,E1324,0,0,1),Preços!$C$3)</f>
        <v>6.1798000000000002</v>
      </c>
    </row>
    <row r="1325" spans="5:6" x14ac:dyDescent="0.25">
      <c r="E1325" s="147">
        <f t="shared" si="19"/>
        <v>1</v>
      </c>
      <c r="F1325" s="155" cm="1">
        <f t="array" aca="1" ref="F1325" ca="1">IFERROR(_xlfn.STOCKHISTORY("USD/BRL",E1325,E1325,0,0,1),Preços!$C$3)</f>
        <v>6.1798000000000002</v>
      </c>
    </row>
    <row r="1326" spans="5:6" x14ac:dyDescent="0.25">
      <c r="E1326" s="147">
        <f t="shared" si="19"/>
        <v>1</v>
      </c>
      <c r="F1326" s="155" cm="1">
        <f t="array" aca="1" ref="F1326" ca="1">IFERROR(_xlfn.STOCKHISTORY("USD/BRL",E1326,E1326,0,0,1),Preços!$C$3)</f>
        <v>6.1798000000000002</v>
      </c>
    </row>
    <row r="1327" spans="5:6" x14ac:dyDescent="0.25">
      <c r="E1327" s="147">
        <f t="shared" si="19"/>
        <v>1</v>
      </c>
      <c r="F1327" s="155" cm="1">
        <f t="array" aca="1" ref="F1327" ca="1">IFERROR(_xlfn.STOCKHISTORY("USD/BRL",E1327,E1327,0,0,1),Preços!$C$3)</f>
        <v>6.1798000000000002</v>
      </c>
    </row>
    <row r="1328" spans="5:6" x14ac:dyDescent="0.25">
      <c r="E1328" s="147">
        <f t="shared" si="19"/>
        <v>1</v>
      </c>
      <c r="F1328" s="155" cm="1">
        <f t="array" aca="1" ref="F1328" ca="1">IFERROR(_xlfn.STOCKHISTORY("USD/BRL",E1328,E1328,0,0,1),Preços!$C$3)</f>
        <v>6.1798000000000002</v>
      </c>
    </row>
    <row r="1329" spans="5:6" x14ac:dyDescent="0.25">
      <c r="E1329" s="147">
        <f t="shared" si="19"/>
        <v>1</v>
      </c>
      <c r="F1329" s="155" cm="1">
        <f t="array" aca="1" ref="F1329" ca="1">IFERROR(_xlfn.STOCKHISTORY("USD/BRL",E1329,E1329,0,0,1),Preços!$C$3)</f>
        <v>6.1798000000000002</v>
      </c>
    </row>
    <row r="1330" spans="5:6" x14ac:dyDescent="0.25">
      <c r="E1330" s="147">
        <f t="shared" si="19"/>
        <v>1</v>
      </c>
      <c r="F1330" s="155" cm="1">
        <f t="array" aca="1" ref="F1330" ca="1">IFERROR(_xlfn.STOCKHISTORY("USD/BRL",E1330,E1330,0,0,1),Preços!$C$3)</f>
        <v>6.1798000000000002</v>
      </c>
    </row>
    <row r="1331" spans="5:6" x14ac:dyDescent="0.25">
      <c r="E1331" s="147">
        <f t="shared" si="19"/>
        <v>1</v>
      </c>
      <c r="F1331" s="155" cm="1">
        <f t="array" aca="1" ref="F1331" ca="1">IFERROR(_xlfn.STOCKHISTORY("USD/BRL",E1331,E1331,0,0,1),Preços!$C$3)</f>
        <v>6.1798000000000002</v>
      </c>
    </row>
    <row r="1332" spans="5:6" x14ac:dyDescent="0.25">
      <c r="E1332" s="147">
        <f t="shared" si="19"/>
        <v>1</v>
      </c>
      <c r="F1332" s="155" cm="1">
        <f t="array" aca="1" ref="F1332" ca="1">IFERROR(_xlfn.STOCKHISTORY("USD/BRL",E1332,E1332,0,0,1),Preços!$C$3)</f>
        <v>6.1798000000000002</v>
      </c>
    </row>
    <row r="1333" spans="5:6" x14ac:dyDescent="0.25">
      <c r="E1333" s="147">
        <f t="shared" si="19"/>
        <v>1</v>
      </c>
      <c r="F1333" s="155" cm="1">
        <f t="array" aca="1" ref="F1333" ca="1">IFERROR(_xlfn.STOCKHISTORY("USD/BRL",E1333,E1333,0,0,1),Preços!$C$3)</f>
        <v>6.1798000000000002</v>
      </c>
    </row>
    <row r="1334" spans="5:6" x14ac:dyDescent="0.25">
      <c r="E1334" s="147">
        <f t="shared" si="19"/>
        <v>1</v>
      </c>
      <c r="F1334" s="155" cm="1">
        <f t="array" aca="1" ref="F1334" ca="1">IFERROR(_xlfn.STOCKHISTORY("USD/BRL",E1334,E1334,0,0,1),Preços!$C$3)</f>
        <v>6.1798000000000002</v>
      </c>
    </row>
    <row r="1335" spans="5:6" x14ac:dyDescent="0.25">
      <c r="E1335" s="147">
        <f t="shared" si="19"/>
        <v>1</v>
      </c>
      <c r="F1335" s="155" cm="1">
        <f t="array" aca="1" ref="F1335" ca="1">IFERROR(_xlfn.STOCKHISTORY("USD/BRL",E1335,E1335,0,0,1),Preços!$C$3)</f>
        <v>6.1798000000000002</v>
      </c>
    </row>
    <row r="1336" spans="5:6" x14ac:dyDescent="0.25">
      <c r="E1336" s="147">
        <f t="shared" si="19"/>
        <v>1</v>
      </c>
      <c r="F1336" s="155" cm="1">
        <f t="array" aca="1" ref="F1336" ca="1">IFERROR(_xlfn.STOCKHISTORY("USD/BRL",E1336,E1336,0,0,1),Preços!$C$3)</f>
        <v>6.1798000000000002</v>
      </c>
    </row>
    <row r="1337" spans="5:6" x14ac:dyDescent="0.25">
      <c r="E1337" s="147">
        <f t="shared" si="19"/>
        <v>1</v>
      </c>
      <c r="F1337" s="155" cm="1">
        <f t="array" aca="1" ref="F1337" ca="1">IFERROR(_xlfn.STOCKHISTORY("USD/BRL",E1337,E1337,0,0,1),Preços!$C$3)</f>
        <v>6.1798000000000002</v>
      </c>
    </row>
    <row r="1338" spans="5:6" x14ac:dyDescent="0.25">
      <c r="E1338" s="147">
        <f t="shared" si="19"/>
        <v>1</v>
      </c>
      <c r="F1338" s="155" cm="1">
        <f t="array" aca="1" ref="F1338" ca="1">IFERROR(_xlfn.STOCKHISTORY("USD/BRL",E1338,E1338,0,0,1),Preços!$C$3)</f>
        <v>6.1798000000000002</v>
      </c>
    </row>
    <row r="1339" spans="5:6" x14ac:dyDescent="0.25">
      <c r="E1339" s="147">
        <f t="shared" si="19"/>
        <v>1</v>
      </c>
      <c r="F1339" s="155" cm="1">
        <f t="array" aca="1" ref="F1339" ca="1">IFERROR(_xlfn.STOCKHISTORY("USD/BRL",E1339,E1339,0,0,1),Preços!$C$3)</f>
        <v>6.1798000000000002</v>
      </c>
    </row>
    <row r="1340" spans="5:6" x14ac:dyDescent="0.25">
      <c r="E1340" s="147">
        <f t="shared" si="19"/>
        <v>1</v>
      </c>
      <c r="F1340" s="155" cm="1">
        <f t="array" aca="1" ref="F1340" ca="1">IFERROR(_xlfn.STOCKHISTORY("USD/BRL",E1340,E1340,0,0,1),Preços!$C$3)</f>
        <v>6.1798000000000002</v>
      </c>
    </row>
    <row r="1341" spans="5:6" x14ac:dyDescent="0.25">
      <c r="E1341" s="147">
        <f t="shared" si="19"/>
        <v>1</v>
      </c>
      <c r="F1341" s="155" cm="1">
        <f t="array" aca="1" ref="F1341" ca="1">IFERROR(_xlfn.STOCKHISTORY("USD/BRL",E1341,E1341,0,0,1),Preços!$C$3)</f>
        <v>6.1798000000000002</v>
      </c>
    </row>
    <row r="1342" spans="5:6" x14ac:dyDescent="0.25">
      <c r="E1342" s="147">
        <f t="shared" si="19"/>
        <v>1</v>
      </c>
      <c r="F1342" s="155" cm="1">
        <f t="array" aca="1" ref="F1342" ca="1">IFERROR(_xlfn.STOCKHISTORY("USD/BRL",E1342,E1342,0,0,1),Preços!$C$3)</f>
        <v>6.1798000000000002</v>
      </c>
    </row>
    <row r="1343" spans="5:6" x14ac:dyDescent="0.25">
      <c r="E1343" s="147">
        <f t="shared" si="19"/>
        <v>1</v>
      </c>
      <c r="F1343" s="155" cm="1">
        <f t="array" aca="1" ref="F1343" ca="1">IFERROR(_xlfn.STOCKHISTORY("USD/BRL",E1343,E1343,0,0,1),Preços!$C$3)</f>
        <v>6.1798000000000002</v>
      </c>
    </row>
    <row r="1344" spans="5:6" x14ac:dyDescent="0.25">
      <c r="E1344" s="147">
        <f t="shared" si="19"/>
        <v>1</v>
      </c>
      <c r="F1344" s="155" cm="1">
        <f t="array" aca="1" ref="F1344" ca="1">IFERROR(_xlfn.STOCKHISTORY("USD/BRL",E1344,E1344,0,0,1),Preços!$C$3)</f>
        <v>6.1798000000000002</v>
      </c>
    </row>
    <row r="1345" spans="5:6" x14ac:dyDescent="0.25">
      <c r="E1345" s="147">
        <f t="shared" si="19"/>
        <v>1</v>
      </c>
      <c r="F1345" s="155" cm="1">
        <f t="array" aca="1" ref="F1345" ca="1">IFERROR(_xlfn.STOCKHISTORY("USD/BRL",E1345,E1345,0,0,1),Preços!$C$3)</f>
        <v>6.1798000000000002</v>
      </c>
    </row>
    <row r="1346" spans="5:6" x14ac:dyDescent="0.25">
      <c r="E1346" s="147">
        <f t="shared" si="19"/>
        <v>1</v>
      </c>
      <c r="F1346" s="155" cm="1">
        <f t="array" aca="1" ref="F1346" ca="1">IFERROR(_xlfn.STOCKHISTORY("USD/BRL",E1346,E1346,0,0,1),Preços!$C$3)</f>
        <v>6.1798000000000002</v>
      </c>
    </row>
    <row r="1347" spans="5:6" x14ac:dyDescent="0.25">
      <c r="E1347" s="147">
        <f t="shared" si="19"/>
        <v>1</v>
      </c>
      <c r="F1347" s="155" cm="1">
        <f t="array" aca="1" ref="F1347" ca="1">IFERROR(_xlfn.STOCKHISTORY("USD/BRL",E1347,E1347,0,0,1),Preços!$C$3)</f>
        <v>6.1798000000000002</v>
      </c>
    </row>
    <row r="1348" spans="5:6" x14ac:dyDescent="0.25">
      <c r="E1348" s="147">
        <f t="shared" ref="E1348:E1411" si="20">DATE(YEAR(D1254),MONTH(D1254),1)</f>
        <v>1</v>
      </c>
      <c r="F1348" s="155" cm="1">
        <f t="array" aca="1" ref="F1348" ca="1">IFERROR(_xlfn.STOCKHISTORY("USD/BRL",E1348,E1348,0,0,1),Preços!$C$3)</f>
        <v>6.1798000000000002</v>
      </c>
    </row>
    <row r="1349" spans="5:6" x14ac:dyDescent="0.25">
      <c r="E1349" s="147">
        <f t="shared" si="20"/>
        <v>1</v>
      </c>
      <c r="F1349" s="155" cm="1">
        <f t="array" aca="1" ref="F1349" ca="1">IFERROR(_xlfn.STOCKHISTORY("USD/BRL",E1349,E1349,0,0,1),Preços!$C$3)</f>
        <v>6.1798000000000002</v>
      </c>
    </row>
    <row r="1350" spans="5:6" x14ac:dyDescent="0.25">
      <c r="E1350" s="147">
        <f t="shared" si="20"/>
        <v>1</v>
      </c>
      <c r="F1350" s="155" cm="1">
        <f t="array" aca="1" ref="F1350" ca="1">IFERROR(_xlfn.STOCKHISTORY("USD/BRL",E1350,E1350,0,0,1),Preços!$C$3)</f>
        <v>6.1798000000000002</v>
      </c>
    </row>
    <row r="1351" spans="5:6" x14ac:dyDescent="0.25">
      <c r="E1351" s="147">
        <f t="shared" si="20"/>
        <v>1</v>
      </c>
      <c r="F1351" s="155" cm="1">
        <f t="array" aca="1" ref="F1351" ca="1">IFERROR(_xlfn.STOCKHISTORY("USD/BRL",E1351,E1351,0,0,1),Preços!$C$3)</f>
        <v>6.1798000000000002</v>
      </c>
    </row>
    <row r="1352" spans="5:6" x14ac:dyDescent="0.25">
      <c r="E1352" s="147">
        <f t="shared" si="20"/>
        <v>1</v>
      </c>
      <c r="F1352" s="155" cm="1">
        <f t="array" aca="1" ref="F1352" ca="1">IFERROR(_xlfn.STOCKHISTORY("USD/BRL",E1352,E1352,0,0,1),Preços!$C$3)</f>
        <v>6.1798000000000002</v>
      </c>
    </row>
    <row r="1353" spans="5:6" x14ac:dyDescent="0.25">
      <c r="E1353" s="147">
        <f t="shared" si="20"/>
        <v>1</v>
      </c>
      <c r="F1353" s="155" cm="1">
        <f t="array" aca="1" ref="F1353" ca="1">IFERROR(_xlfn.STOCKHISTORY("USD/BRL",E1353,E1353,0,0,1),Preços!$C$3)</f>
        <v>6.1798000000000002</v>
      </c>
    </row>
    <row r="1354" spans="5:6" x14ac:dyDescent="0.25">
      <c r="E1354" s="147">
        <f t="shared" si="20"/>
        <v>1</v>
      </c>
      <c r="F1354" s="155" cm="1">
        <f t="array" aca="1" ref="F1354" ca="1">IFERROR(_xlfn.STOCKHISTORY("USD/BRL",E1354,E1354,0,0,1),Preços!$C$3)</f>
        <v>6.1798000000000002</v>
      </c>
    </row>
    <row r="1355" spans="5:6" x14ac:dyDescent="0.25">
      <c r="E1355" s="147">
        <f t="shared" si="20"/>
        <v>1</v>
      </c>
      <c r="F1355" s="155" cm="1">
        <f t="array" aca="1" ref="F1355" ca="1">IFERROR(_xlfn.STOCKHISTORY("USD/BRL",E1355,E1355,0,0,1),Preços!$C$3)</f>
        <v>6.1798000000000002</v>
      </c>
    </row>
    <row r="1356" spans="5:6" x14ac:dyDescent="0.25">
      <c r="E1356" s="147">
        <f t="shared" si="20"/>
        <v>1</v>
      </c>
      <c r="F1356" s="155" cm="1">
        <f t="array" aca="1" ref="F1356" ca="1">IFERROR(_xlfn.STOCKHISTORY("USD/BRL",E1356,E1356,0,0,1),Preços!$C$3)</f>
        <v>6.1798000000000002</v>
      </c>
    </row>
    <row r="1357" spans="5:6" x14ac:dyDescent="0.25">
      <c r="E1357" s="147">
        <f t="shared" si="20"/>
        <v>1</v>
      </c>
      <c r="F1357" s="155" cm="1">
        <f t="array" aca="1" ref="F1357" ca="1">IFERROR(_xlfn.STOCKHISTORY("USD/BRL",E1357,E1357,0,0,1),Preços!$C$3)</f>
        <v>6.1798000000000002</v>
      </c>
    </row>
    <row r="1358" spans="5:6" x14ac:dyDescent="0.25">
      <c r="E1358" s="147">
        <f t="shared" si="20"/>
        <v>1</v>
      </c>
      <c r="F1358" s="155" cm="1">
        <f t="array" aca="1" ref="F1358" ca="1">IFERROR(_xlfn.STOCKHISTORY("USD/BRL",E1358,E1358,0,0,1),Preços!$C$3)</f>
        <v>6.1798000000000002</v>
      </c>
    </row>
    <row r="1359" spans="5:6" x14ac:dyDescent="0.25">
      <c r="E1359" s="147">
        <f t="shared" si="20"/>
        <v>1</v>
      </c>
      <c r="F1359" s="155" cm="1">
        <f t="array" aca="1" ref="F1359" ca="1">IFERROR(_xlfn.STOCKHISTORY("USD/BRL",E1359,E1359,0,0,1),Preços!$C$3)</f>
        <v>6.1798000000000002</v>
      </c>
    </row>
    <row r="1360" spans="5:6" x14ac:dyDescent="0.25">
      <c r="E1360" s="147">
        <f t="shared" si="20"/>
        <v>1</v>
      </c>
      <c r="F1360" s="155" cm="1">
        <f t="array" aca="1" ref="F1360" ca="1">IFERROR(_xlfn.STOCKHISTORY("USD/BRL",E1360,E1360,0,0,1),Preços!$C$3)</f>
        <v>6.1798000000000002</v>
      </c>
    </row>
    <row r="1361" spans="5:6" x14ac:dyDescent="0.25">
      <c r="E1361" s="147">
        <f t="shared" si="20"/>
        <v>1</v>
      </c>
      <c r="F1361" s="155" cm="1">
        <f t="array" aca="1" ref="F1361" ca="1">IFERROR(_xlfn.STOCKHISTORY("USD/BRL",E1361,E1361,0,0,1),Preços!$C$3)</f>
        <v>6.1798000000000002</v>
      </c>
    </row>
    <row r="1362" spans="5:6" x14ac:dyDescent="0.25">
      <c r="E1362" s="147">
        <f t="shared" si="20"/>
        <v>1</v>
      </c>
      <c r="F1362" s="155" cm="1">
        <f t="array" aca="1" ref="F1362" ca="1">IFERROR(_xlfn.STOCKHISTORY("USD/BRL",E1362,E1362,0,0,1),Preços!$C$3)</f>
        <v>6.1798000000000002</v>
      </c>
    </row>
    <row r="1363" spans="5:6" x14ac:dyDescent="0.25">
      <c r="E1363" s="147">
        <f t="shared" si="20"/>
        <v>1</v>
      </c>
      <c r="F1363" s="155" cm="1">
        <f t="array" aca="1" ref="F1363" ca="1">IFERROR(_xlfn.STOCKHISTORY("USD/BRL",E1363,E1363,0,0,1),Preços!$C$3)</f>
        <v>6.1798000000000002</v>
      </c>
    </row>
    <row r="1364" spans="5:6" x14ac:dyDescent="0.25">
      <c r="E1364" s="147">
        <f t="shared" si="20"/>
        <v>1</v>
      </c>
      <c r="F1364" s="155" cm="1">
        <f t="array" aca="1" ref="F1364" ca="1">IFERROR(_xlfn.STOCKHISTORY("USD/BRL",E1364,E1364,0,0,1),Preços!$C$3)</f>
        <v>6.1798000000000002</v>
      </c>
    </row>
    <row r="1365" spans="5:6" x14ac:dyDescent="0.25">
      <c r="E1365" s="147">
        <f t="shared" si="20"/>
        <v>1</v>
      </c>
      <c r="F1365" s="155" cm="1">
        <f t="array" aca="1" ref="F1365" ca="1">IFERROR(_xlfn.STOCKHISTORY("USD/BRL",E1365,E1365,0,0,1),Preços!$C$3)</f>
        <v>6.1798000000000002</v>
      </c>
    </row>
    <row r="1366" spans="5:6" x14ac:dyDescent="0.25">
      <c r="E1366" s="147">
        <f t="shared" si="20"/>
        <v>1</v>
      </c>
      <c r="F1366" s="155" cm="1">
        <f t="array" aca="1" ref="F1366" ca="1">IFERROR(_xlfn.STOCKHISTORY("USD/BRL",E1366,E1366,0,0,1),Preços!$C$3)</f>
        <v>6.1798000000000002</v>
      </c>
    </row>
    <row r="1367" spans="5:6" x14ac:dyDescent="0.25">
      <c r="E1367" s="147">
        <f t="shared" si="20"/>
        <v>1</v>
      </c>
      <c r="F1367" s="155" cm="1">
        <f t="array" aca="1" ref="F1367" ca="1">IFERROR(_xlfn.STOCKHISTORY("USD/BRL",E1367,E1367,0,0,1),Preços!$C$3)</f>
        <v>6.1798000000000002</v>
      </c>
    </row>
    <row r="1368" spans="5:6" x14ac:dyDescent="0.25">
      <c r="E1368" s="147">
        <f t="shared" si="20"/>
        <v>1</v>
      </c>
      <c r="F1368" s="155" cm="1">
        <f t="array" aca="1" ref="F1368" ca="1">IFERROR(_xlfn.STOCKHISTORY("USD/BRL",E1368,E1368,0,0,1),Preços!$C$3)</f>
        <v>6.1798000000000002</v>
      </c>
    </row>
    <row r="1369" spans="5:6" x14ac:dyDescent="0.25">
      <c r="E1369" s="147">
        <f t="shared" si="20"/>
        <v>1</v>
      </c>
      <c r="F1369" s="155" cm="1">
        <f t="array" aca="1" ref="F1369" ca="1">IFERROR(_xlfn.STOCKHISTORY("USD/BRL",E1369,E1369,0,0,1),Preços!$C$3)</f>
        <v>6.1798000000000002</v>
      </c>
    </row>
    <row r="1370" spans="5:6" x14ac:dyDescent="0.25">
      <c r="E1370" s="147">
        <f t="shared" si="20"/>
        <v>1</v>
      </c>
      <c r="F1370" s="155" cm="1">
        <f t="array" aca="1" ref="F1370" ca="1">IFERROR(_xlfn.STOCKHISTORY("USD/BRL",E1370,E1370,0,0,1),Preços!$C$3)</f>
        <v>6.1798000000000002</v>
      </c>
    </row>
    <row r="1371" spans="5:6" x14ac:dyDescent="0.25">
      <c r="E1371" s="147">
        <f t="shared" si="20"/>
        <v>1</v>
      </c>
      <c r="F1371" s="155" cm="1">
        <f t="array" aca="1" ref="F1371" ca="1">IFERROR(_xlfn.STOCKHISTORY("USD/BRL",E1371,E1371,0,0,1),Preços!$C$3)</f>
        <v>6.1798000000000002</v>
      </c>
    </row>
    <row r="1372" spans="5:6" x14ac:dyDescent="0.25">
      <c r="E1372" s="147">
        <f t="shared" si="20"/>
        <v>1</v>
      </c>
      <c r="F1372" s="155" cm="1">
        <f t="array" aca="1" ref="F1372" ca="1">IFERROR(_xlfn.STOCKHISTORY("USD/BRL",E1372,E1372,0,0,1),Preços!$C$3)</f>
        <v>6.1798000000000002</v>
      </c>
    </row>
    <row r="1373" spans="5:6" x14ac:dyDescent="0.25">
      <c r="E1373" s="147">
        <f t="shared" si="20"/>
        <v>1</v>
      </c>
      <c r="F1373" s="155" cm="1">
        <f t="array" aca="1" ref="F1373" ca="1">IFERROR(_xlfn.STOCKHISTORY("USD/BRL",E1373,E1373,0,0,1),Preços!$C$3)</f>
        <v>6.1798000000000002</v>
      </c>
    </row>
    <row r="1374" spans="5:6" x14ac:dyDescent="0.25">
      <c r="E1374" s="147">
        <f t="shared" si="20"/>
        <v>1</v>
      </c>
      <c r="F1374" s="155" cm="1">
        <f t="array" aca="1" ref="F1374" ca="1">IFERROR(_xlfn.STOCKHISTORY("USD/BRL",E1374,E1374,0,0,1),Preços!$C$3)</f>
        <v>6.1798000000000002</v>
      </c>
    </row>
    <row r="1375" spans="5:6" x14ac:dyDescent="0.25">
      <c r="E1375" s="147">
        <f t="shared" si="20"/>
        <v>1</v>
      </c>
      <c r="F1375" s="155" cm="1">
        <f t="array" aca="1" ref="F1375" ca="1">IFERROR(_xlfn.STOCKHISTORY("USD/BRL",E1375,E1375,0,0,1),Preços!$C$3)</f>
        <v>6.1798000000000002</v>
      </c>
    </row>
    <row r="1376" spans="5:6" x14ac:dyDescent="0.25">
      <c r="E1376" s="147">
        <f t="shared" si="20"/>
        <v>1</v>
      </c>
      <c r="F1376" s="155" cm="1">
        <f t="array" aca="1" ref="F1376" ca="1">IFERROR(_xlfn.STOCKHISTORY("USD/BRL",E1376,E1376,0,0,1),Preços!$C$3)</f>
        <v>6.1798000000000002</v>
      </c>
    </row>
    <row r="1377" spans="5:6" x14ac:dyDescent="0.25">
      <c r="E1377" s="147">
        <f t="shared" si="20"/>
        <v>1</v>
      </c>
      <c r="F1377" s="155" cm="1">
        <f t="array" aca="1" ref="F1377" ca="1">IFERROR(_xlfn.STOCKHISTORY("USD/BRL",E1377,E1377,0,0,1),Preços!$C$3)</f>
        <v>6.1798000000000002</v>
      </c>
    </row>
    <row r="1378" spans="5:6" x14ac:dyDescent="0.25">
      <c r="E1378" s="147">
        <f t="shared" si="20"/>
        <v>1</v>
      </c>
      <c r="F1378" s="155" cm="1">
        <f t="array" aca="1" ref="F1378" ca="1">IFERROR(_xlfn.STOCKHISTORY("USD/BRL",E1378,E1378,0,0,1),Preços!$C$3)</f>
        <v>6.1798000000000002</v>
      </c>
    </row>
    <row r="1379" spans="5:6" x14ac:dyDescent="0.25">
      <c r="E1379" s="147">
        <f t="shared" si="20"/>
        <v>1</v>
      </c>
      <c r="F1379" s="155" cm="1">
        <f t="array" aca="1" ref="F1379" ca="1">IFERROR(_xlfn.STOCKHISTORY("USD/BRL",E1379,E1379,0,0,1),Preços!$C$3)</f>
        <v>6.1798000000000002</v>
      </c>
    </row>
    <row r="1380" spans="5:6" x14ac:dyDescent="0.25">
      <c r="E1380" s="147">
        <f t="shared" si="20"/>
        <v>1</v>
      </c>
      <c r="F1380" s="155" cm="1">
        <f t="array" aca="1" ref="F1380" ca="1">IFERROR(_xlfn.STOCKHISTORY("USD/BRL",E1380,E1380,0,0,1),Preços!$C$3)</f>
        <v>6.1798000000000002</v>
      </c>
    </row>
    <row r="1381" spans="5:6" x14ac:dyDescent="0.25">
      <c r="E1381" s="147">
        <f t="shared" si="20"/>
        <v>1</v>
      </c>
      <c r="F1381" s="155" cm="1">
        <f t="array" aca="1" ref="F1381" ca="1">IFERROR(_xlfn.STOCKHISTORY("USD/BRL",E1381,E1381,0,0,1),Preços!$C$3)</f>
        <v>6.1798000000000002</v>
      </c>
    </row>
    <row r="1382" spans="5:6" x14ac:dyDescent="0.25">
      <c r="E1382" s="147">
        <f t="shared" si="20"/>
        <v>1</v>
      </c>
      <c r="F1382" s="155" cm="1">
        <f t="array" aca="1" ref="F1382" ca="1">IFERROR(_xlfn.STOCKHISTORY("USD/BRL",E1382,E1382,0,0,1),Preços!$C$3)</f>
        <v>6.1798000000000002</v>
      </c>
    </row>
    <row r="1383" spans="5:6" x14ac:dyDescent="0.25">
      <c r="E1383" s="147">
        <f t="shared" si="20"/>
        <v>1</v>
      </c>
      <c r="F1383" s="155" cm="1">
        <f t="array" aca="1" ref="F1383" ca="1">IFERROR(_xlfn.STOCKHISTORY("USD/BRL",E1383,E1383,0,0,1),Preços!$C$3)</f>
        <v>6.1798000000000002</v>
      </c>
    </row>
    <row r="1384" spans="5:6" x14ac:dyDescent="0.25">
      <c r="E1384" s="147">
        <f t="shared" si="20"/>
        <v>1</v>
      </c>
      <c r="F1384" s="155" cm="1">
        <f t="array" aca="1" ref="F1384" ca="1">IFERROR(_xlfn.STOCKHISTORY("USD/BRL",E1384,E1384,0,0,1),Preços!$C$3)</f>
        <v>6.1798000000000002</v>
      </c>
    </row>
    <row r="1385" spans="5:6" x14ac:dyDescent="0.25">
      <c r="E1385" s="147">
        <f t="shared" si="20"/>
        <v>1</v>
      </c>
      <c r="F1385" s="155" cm="1">
        <f t="array" aca="1" ref="F1385" ca="1">IFERROR(_xlfn.STOCKHISTORY("USD/BRL",E1385,E1385,0,0,1),Preços!$C$3)</f>
        <v>6.1798000000000002</v>
      </c>
    </row>
    <row r="1386" spans="5:6" x14ac:dyDescent="0.25">
      <c r="E1386" s="147">
        <f t="shared" si="20"/>
        <v>1</v>
      </c>
      <c r="F1386" s="155" cm="1">
        <f t="array" aca="1" ref="F1386" ca="1">IFERROR(_xlfn.STOCKHISTORY("USD/BRL",E1386,E1386,0,0,1),Preços!$C$3)</f>
        <v>6.1798000000000002</v>
      </c>
    </row>
    <row r="1387" spans="5:6" x14ac:dyDescent="0.25">
      <c r="E1387" s="147">
        <f t="shared" si="20"/>
        <v>1</v>
      </c>
      <c r="F1387" s="155" cm="1">
        <f t="array" aca="1" ref="F1387" ca="1">IFERROR(_xlfn.STOCKHISTORY("USD/BRL",E1387,E1387,0,0,1),Preços!$C$3)</f>
        <v>6.1798000000000002</v>
      </c>
    </row>
    <row r="1388" spans="5:6" x14ac:dyDescent="0.25">
      <c r="E1388" s="147">
        <f t="shared" si="20"/>
        <v>1</v>
      </c>
      <c r="F1388" s="155" cm="1">
        <f t="array" aca="1" ref="F1388" ca="1">IFERROR(_xlfn.STOCKHISTORY("USD/BRL",E1388,E1388,0,0,1),Preços!$C$3)</f>
        <v>6.1798000000000002</v>
      </c>
    </row>
    <row r="1389" spans="5:6" x14ac:dyDescent="0.25">
      <c r="E1389" s="147">
        <f t="shared" si="20"/>
        <v>1</v>
      </c>
      <c r="F1389" s="155" cm="1">
        <f t="array" aca="1" ref="F1389" ca="1">IFERROR(_xlfn.STOCKHISTORY("USD/BRL",E1389,E1389,0,0,1),Preços!$C$3)</f>
        <v>6.1798000000000002</v>
      </c>
    </row>
    <row r="1390" spans="5:6" x14ac:dyDescent="0.25">
      <c r="E1390" s="147">
        <f t="shared" si="20"/>
        <v>1</v>
      </c>
      <c r="F1390" s="155" cm="1">
        <f t="array" aca="1" ref="F1390" ca="1">IFERROR(_xlfn.STOCKHISTORY("USD/BRL",E1390,E1390,0,0,1),Preços!$C$3)</f>
        <v>6.1798000000000002</v>
      </c>
    </row>
    <row r="1391" spans="5:6" x14ac:dyDescent="0.25">
      <c r="E1391" s="147">
        <f t="shared" si="20"/>
        <v>1</v>
      </c>
      <c r="F1391" s="155" cm="1">
        <f t="array" aca="1" ref="F1391" ca="1">IFERROR(_xlfn.STOCKHISTORY("USD/BRL",E1391,E1391,0,0,1),Preços!$C$3)</f>
        <v>6.1798000000000002</v>
      </c>
    </row>
    <row r="1392" spans="5:6" x14ac:dyDescent="0.25">
      <c r="E1392" s="147">
        <f t="shared" si="20"/>
        <v>1</v>
      </c>
      <c r="F1392" s="155" cm="1">
        <f t="array" aca="1" ref="F1392" ca="1">IFERROR(_xlfn.STOCKHISTORY("USD/BRL",E1392,E1392,0,0,1),Preços!$C$3)</f>
        <v>6.1798000000000002</v>
      </c>
    </row>
    <row r="1393" spans="5:6" x14ac:dyDescent="0.25">
      <c r="E1393" s="147">
        <f t="shared" si="20"/>
        <v>1</v>
      </c>
      <c r="F1393" s="155" cm="1">
        <f t="array" aca="1" ref="F1393" ca="1">IFERROR(_xlfn.STOCKHISTORY("USD/BRL",E1393,E1393,0,0,1),Preços!$C$3)</f>
        <v>6.1798000000000002</v>
      </c>
    </row>
    <row r="1394" spans="5:6" x14ac:dyDescent="0.25">
      <c r="E1394" s="147">
        <f t="shared" si="20"/>
        <v>1</v>
      </c>
      <c r="F1394" s="155" cm="1">
        <f t="array" aca="1" ref="F1394" ca="1">IFERROR(_xlfn.STOCKHISTORY("USD/BRL",E1394,E1394,0,0,1),Preços!$C$3)</f>
        <v>6.1798000000000002</v>
      </c>
    </row>
    <row r="1395" spans="5:6" x14ac:dyDescent="0.25">
      <c r="E1395" s="147">
        <f t="shared" si="20"/>
        <v>1</v>
      </c>
      <c r="F1395" s="155" cm="1">
        <f t="array" aca="1" ref="F1395" ca="1">IFERROR(_xlfn.STOCKHISTORY("USD/BRL",E1395,E1395,0,0,1),Preços!$C$3)</f>
        <v>6.1798000000000002</v>
      </c>
    </row>
    <row r="1396" spans="5:6" x14ac:dyDescent="0.25">
      <c r="E1396" s="147">
        <f t="shared" si="20"/>
        <v>1</v>
      </c>
      <c r="F1396" s="155" cm="1">
        <f t="array" aca="1" ref="F1396" ca="1">IFERROR(_xlfn.STOCKHISTORY("USD/BRL",E1396,E1396,0,0,1),Preços!$C$3)</f>
        <v>6.1798000000000002</v>
      </c>
    </row>
    <row r="1397" spans="5:6" x14ac:dyDescent="0.25">
      <c r="E1397" s="147">
        <f t="shared" si="20"/>
        <v>1</v>
      </c>
      <c r="F1397" s="155" cm="1">
        <f t="array" aca="1" ref="F1397" ca="1">IFERROR(_xlfn.STOCKHISTORY("USD/BRL",E1397,E1397,0,0,1),Preços!$C$3)</f>
        <v>6.1798000000000002</v>
      </c>
    </row>
    <row r="1398" spans="5:6" x14ac:dyDescent="0.25">
      <c r="E1398" s="147">
        <f t="shared" si="20"/>
        <v>1</v>
      </c>
      <c r="F1398" s="155" cm="1">
        <f t="array" aca="1" ref="F1398" ca="1">IFERROR(_xlfn.STOCKHISTORY("USD/BRL",E1398,E1398,0,0,1),Preços!$C$3)</f>
        <v>6.1798000000000002</v>
      </c>
    </row>
    <row r="1399" spans="5:6" x14ac:dyDescent="0.25">
      <c r="E1399" s="147">
        <f t="shared" si="20"/>
        <v>1</v>
      </c>
      <c r="F1399" s="155" cm="1">
        <f t="array" aca="1" ref="F1399" ca="1">IFERROR(_xlfn.STOCKHISTORY("USD/BRL",E1399,E1399,0,0,1),Preços!$C$3)</f>
        <v>6.1798000000000002</v>
      </c>
    </row>
    <row r="1400" spans="5:6" x14ac:dyDescent="0.25">
      <c r="E1400" s="147">
        <f t="shared" si="20"/>
        <v>1</v>
      </c>
      <c r="F1400" s="155" cm="1">
        <f t="array" aca="1" ref="F1400" ca="1">IFERROR(_xlfn.STOCKHISTORY("USD/BRL",E1400,E1400,0,0,1),Preços!$C$3)</f>
        <v>6.1798000000000002</v>
      </c>
    </row>
    <row r="1401" spans="5:6" x14ac:dyDescent="0.25">
      <c r="E1401" s="147">
        <f t="shared" si="20"/>
        <v>1</v>
      </c>
      <c r="F1401" s="155" cm="1">
        <f t="array" aca="1" ref="F1401" ca="1">IFERROR(_xlfn.STOCKHISTORY("USD/BRL",E1401,E1401,0,0,1),Preços!$C$3)</f>
        <v>6.1798000000000002</v>
      </c>
    </row>
    <row r="1402" spans="5:6" x14ac:dyDescent="0.25">
      <c r="E1402" s="147">
        <f t="shared" si="20"/>
        <v>1</v>
      </c>
      <c r="F1402" s="155" cm="1">
        <f t="array" aca="1" ref="F1402" ca="1">IFERROR(_xlfn.STOCKHISTORY("USD/BRL",E1402,E1402,0,0,1),Preços!$C$3)</f>
        <v>6.1798000000000002</v>
      </c>
    </row>
    <row r="1403" spans="5:6" x14ac:dyDescent="0.25">
      <c r="E1403" s="147">
        <f t="shared" si="20"/>
        <v>1</v>
      </c>
      <c r="F1403" s="155" cm="1">
        <f t="array" aca="1" ref="F1403" ca="1">IFERROR(_xlfn.STOCKHISTORY("USD/BRL",E1403,E1403,0,0,1),Preços!$C$3)</f>
        <v>6.1798000000000002</v>
      </c>
    </row>
    <row r="1404" spans="5:6" x14ac:dyDescent="0.25">
      <c r="E1404" s="147">
        <f t="shared" si="20"/>
        <v>1</v>
      </c>
      <c r="F1404" s="155" cm="1">
        <f t="array" aca="1" ref="F1404" ca="1">IFERROR(_xlfn.STOCKHISTORY("USD/BRL",E1404,E1404,0,0,1),Preços!$C$3)</f>
        <v>6.1798000000000002</v>
      </c>
    </row>
    <row r="1405" spans="5:6" x14ac:dyDescent="0.25">
      <c r="E1405" s="147">
        <f t="shared" si="20"/>
        <v>1</v>
      </c>
      <c r="F1405" s="155" cm="1">
        <f t="array" aca="1" ref="F1405" ca="1">IFERROR(_xlfn.STOCKHISTORY("USD/BRL",E1405,E1405,0,0,1),Preços!$C$3)</f>
        <v>6.1798000000000002</v>
      </c>
    </row>
    <row r="1406" spans="5:6" x14ac:dyDescent="0.25">
      <c r="E1406" s="147">
        <f t="shared" si="20"/>
        <v>1</v>
      </c>
      <c r="F1406" s="155" cm="1">
        <f t="array" aca="1" ref="F1406" ca="1">IFERROR(_xlfn.STOCKHISTORY("USD/BRL",E1406,E1406,0,0,1),Preços!$C$3)</f>
        <v>6.1798000000000002</v>
      </c>
    </row>
    <row r="1407" spans="5:6" x14ac:dyDescent="0.25">
      <c r="E1407" s="147">
        <f t="shared" si="20"/>
        <v>1</v>
      </c>
      <c r="F1407" s="155" cm="1">
        <f t="array" aca="1" ref="F1407" ca="1">IFERROR(_xlfn.STOCKHISTORY("USD/BRL",E1407,E1407,0,0,1),Preços!$C$3)</f>
        <v>6.1798000000000002</v>
      </c>
    </row>
    <row r="1408" spans="5:6" x14ac:dyDescent="0.25">
      <c r="E1408" s="147">
        <f t="shared" si="20"/>
        <v>1</v>
      </c>
      <c r="F1408" s="155" cm="1">
        <f t="array" aca="1" ref="F1408" ca="1">IFERROR(_xlfn.STOCKHISTORY("USD/BRL",E1408,E1408,0,0,1),Preços!$C$3)</f>
        <v>6.1798000000000002</v>
      </c>
    </row>
    <row r="1409" spans="5:6" x14ac:dyDescent="0.25">
      <c r="E1409" s="147">
        <f t="shared" si="20"/>
        <v>1</v>
      </c>
      <c r="F1409" s="155" cm="1">
        <f t="array" aca="1" ref="F1409" ca="1">IFERROR(_xlfn.STOCKHISTORY("USD/BRL",E1409,E1409,0,0,1),Preços!$C$3)</f>
        <v>6.1798000000000002</v>
      </c>
    </row>
    <row r="1410" spans="5:6" x14ac:dyDescent="0.25">
      <c r="E1410" s="147">
        <f t="shared" si="20"/>
        <v>1</v>
      </c>
      <c r="F1410" s="155" cm="1">
        <f t="array" aca="1" ref="F1410" ca="1">IFERROR(_xlfn.STOCKHISTORY("USD/BRL",E1410,E1410,0,0,1),Preços!$C$3)</f>
        <v>6.1798000000000002</v>
      </c>
    </row>
    <row r="1411" spans="5:6" x14ac:dyDescent="0.25">
      <c r="E1411" s="147">
        <f t="shared" si="20"/>
        <v>1</v>
      </c>
      <c r="F1411" s="155" cm="1">
        <f t="array" aca="1" ref="F1411" ca="1">IFERROR(_xlfn.STOCKHISTORY("USD/BRL",E1411,E1411,0,0,1),Preços!$C$3)</f>
        <v>6.1798000000000002</v>
      </c>
    </row>
    <row r="1412" spans="5:6" x14ac:dyDescent="0.25">
      <c r="E1412" s="147">
        <f t="shared" ref="E1412:E1475" si="21">DATE(YEAR(D1318),MONTH(D1318),1)</f>
        <v>1</v>
      </c>
      <c r="F1412" s="155" cm="1">
        <f t="array" aca="1" ref="F1412" ca="1">IFERROR(_xlfn.STOCKHISTORY("USD/BRL",E1412,E1412,0,0,1),Preços!$C$3)</f>
        <v>6.1798000000000002</v>
      </c>
    </row>
    <row r="1413" spans="5:6" x14ac:dyDescent="0.25">
      <c r="E1413" s="147">
        <f t="shared" si="21"/>
        <v>1</v>
      </c>
      <c r="F1413" s="155" cm="1">
        <f t="array" aca="1" ref="F1413" ca="1">IFERROR(_xlfn.STOCKHISTORY("USD/BRL",E1413,E1413,0,0,1),Preços!$C$3)</f>
        <v>6.1798000000000002</v>
      </c>
    </row>
    <row r="1414" spans="5:6" x14ac:dyDescent="0.25">
      <c r="E1414" s="147">
        <f t="shared" si="21"/>
        <v>1</v>
      </c>
      <c r="F1414" s="155" cm="1">
        <f t="array" aca="1" ref="F1414" ca="1">IFERROR(_xlfn.STOCKHISTORY("USD/BRL",E1414,E1414,0,0,1),Preços!$C$3)</f>
        <v>6.1798000000000002</v>
      </c>
    </row>
    <row r="1415" spans="5:6" x14ac:dyDescent="0.25">
      <c r="E1415" s="147">
        <f t="shared" si="21"/>
        <v>1</v>
      </c>
      <c r="F1415" s="155" cm="1">
        <f t="array" aca="1" ref="F1415" ca="1">IFERROR(_xlfn.STOCKHISTORY("USD/BRL",E1415,E1415,0,0,1),Preços!$C$3)</f>
        <v>6.1798000000000002</v>
      </c>
    </row>
    <row r="1416" spans="5:6" x14ac:dyDescent="0.25">
      <c r="E1416" s="147">
        <f t="shared" si="21"/>
        <v>1</v>
      </c>
      <c r="F1416" s="155" cm="1">
        <f t="array" aca="1" ref="F1416" ca="1">IFERROR(_xlfn.STOCKHISTORY("USD/BRL",E1416,E1416,0,0,1),Preços!$C$3)</f>
        <v>6.1798000000000002</v>
      </c>
    </row>
    <row r="1417" spans="5:6" x14ac:dyDescent="0.25">
      <c r="E1417" s="147">
        <f t="shared" si="21"/>
        <v>1</v>
      </c>
      <c r="F1417" s="155" cm="1">
        <f t="array" aca="1" ref="F1417" ca="1">IFERROR(_xlfn.STOCKHISTORY("USD/BRL",E1417,E1417,0,0,1),Preços!$C$3)</f>
        <v>6.1798000000000002</v>
      </c>
    </row>
    <row r="1418" spans="5:6" x14ac:dyDescent="0.25">
      <c r="E1418" s="147">
        <f t="shared" si="21"/>
        <v>1</v>
      </c>
      <c r="F1418" s="155" cm="1">
        <f t="array" aca="1" ref="F1418" ca="1">IFERROR(_xlfn.STOCKHISTORY("USD/BRL",E1418,E1418,0,0,1),Preços!$C$3)</f>
        <v>6.1798000000000002</v>
      </c>
    </row>
    <row r="1419" spans="5:6" x14ac:dyDescent="0.25">
      <c r="E1419" s="147">
        <f t="shared" si="21"/>
        <v>1</v>
      </c>
      <c r="F1419" s="155" cm="1">
        <f t="array" aca="1" ref="F1419" ca="1">IFERROR(_xlfn.STOCKHISTORY("USD/BRL",E1419,E1419,0,0,1),Preços!$C$3)</f>
        <v>6.1798000000000002</v>
      </c>
    </row>
    <row r="1420" spans="5:6" x14ac:dyDescent="0.25">
      <c r="E1420" s="147">
        <f t="shared" si="21"/>
        <v>1</v>
      </c>
      <c r="F1420" s="155" cm="1">
        <f t="array" aca="1" ref="F1420" ca="1">IFERROR(_xlfn.STOCKHISTORY("USD/BRL",E1420,E1420,0,0,1),Preços!$C$3)</f>
        <v>6.1798000000000002</v>
      </c>
    </row>
    <row r="1421" spans="5:6" x14ac:dyDescent="0.25">
      <c r="E1421" s="147">
        <f t="shared" si="21"/>
        <v>1</v>
      </c>
      <c r="F1421" s="155" cm="1">
        <f t="array" aca="1" ref="F1421" ca="1">IFERROR(_xlfn.STOCKHISTORY("USD/BRL",E1421,E1421,0,0,1),Preços!$C$3)</f>
        <v>6.1798000000000002</v>
      </c>
    </row>
    <row r="1422" spans="5:6" x14ac:dyDescent="0.25">
      <c r="E1422" s="147">
        <f t="shared" si="21"/>
        <v>1</v>
      </c>
      <c r="F1422" s="155" cm="1">
        <f t="array" aca="1" ref="F1422" ca="1">IFERROR(_xlfn.STOCKHISTORY("USD/BRL",E1422,E1422,0,0,1),Preços!$C$3)</f>
        <v>6.1798000000000002</v>
      </c>
    </row>
    <row r="1423" spans="5:6" x14ac:dyDescent="0.25">
      <c r="E1423" s="147">
        <f t="shared" si="21"/>
        <v>1</v>
      </c>
      <c r="F1423" s="155" cm="1">
        <f t="array" aca="1" ref="F1423" ca="1">IFERROR(_xlfn.STOCKHISTORY("USD/BRL",E1423,E1423,0,0,1),Preços!$C$3)</f>
        <v>6.1798000000000002</v>
      </c>
    </row>
    <row r="1424" spans="5:6" x14ac:dyDescent="0.25">
      <c r="E1424" s="147">
        <f t="shared" si="21"/>
        <v>1</v>
      </c>
      <c r="F1424" s="155" cm="1">
        <f t="array" aca="1" ref="F1424" ca="1">IFERROR(_xlfn.STOCKHISTORY("USD/BRL",E1424,E1424,0,0,1),Preços!$C$3)</f>
        <v>6.1798000000000002</v>
      </c>
    </row>
    <row r="1425" spans="5:6" x14ac:dyDescent="0.25">
      <c r="E1425" s="147">
        <f t="shared" si="21"/>
        <v>1</v>
      </c>
      <c r="F1425" s="155" cm="1">
        <f t="array" aca="1" ref="F1425" ca="1">IFERROR(_xlfn.STOCKHISTORY("USD/BRL",E1425,E1425,0,0,1),Preços!$C$3)</f>
        <v>6.1798000000000002</v>
      </c>
    </row>
    <row r="1426" spans="5:6" x14ac:dyDescent="0.25">
      <c r="E1426" s="147">
        <f t="shared" si="21"/>
        <v>1</v>
      </c>
      <c r="F1426" s="155" cm="1">
        <f t="array" aca="1" ref="F1426" ca="1">IFERROR(_xlfn.STOCKHISTORY("USD/BRL",E1426,E1426,0,0,1),Preços!$C$3)</f>
        <v>6.1798000000000002</v>
      </c>
    </row>
    <row r="1427" spans="5:6" x14ac:dyDescent="0.25">
      <c r="E1427" s="147">
        <f t="shared" si="21"/>
        <v>1</v>
      </c>
      <c r="F1427" s="155" cm="1">
        <f t="array" aca="1" ref="F1427" ca="1">IFERROR(_xlfn.STOCKHISTORY("USD/BRL",E1427,E1427,0,0,1),Preços!$C$3)</f>
        <v>6.1798000000000002</v>
      </c>
    </row>
    <row r="1428" spans="5:6" x14ac:dyDescent="0.25">
      <c r="E1428" s="147">
        <f t="shared" si="21"/>
        <v>1</v>
      </c>
      <c r="F1428" s="155" cm="1">
        <f t="array" aca="1" ref="F1428" ca="1">IFERROR(_xlfn.STOCKHISTORY("USD/BRL",E1428,E1428,0,0,1),Preços!$C$3)</f>
        <v>6.1798000000000002</v>
      </c>
    </row>
    <row r="1429" spans="5:6" x14ac:dyDescent="0.25">
      <c r="E1429" s="147">
        <f t="shared" si="21"/>
        <v>1</v>
      </c>
      <c r="F1429" s="155" cm="1">
        <f t="array" aca="1" ref="F1429" ca="1">IFERROR(_xlfn.STOCKHISTORY("USD/BRL",E1429,E1429,0,0,1),Preços!$C$3)</f>
        <v>6.1798000000000002</v>
      </c>
    </row>
    <row r="1430" spans="5:6" x14ac:dyDescent="0.25">
      <c r="E1430" s="147">
        <f t="shared" si="21"/>
        <v>1</v>
      </c>
      <c r="F1430" s="155" cm="1">
        <f t="array" aca="1" ref="F1430" ca="1">IFERROR(_xlfn.STOCKHISTORY("USD/BRL",E1430,E1430,0,0,1),Preços!$C$3)</f>
        <v>6.1798000000000002</v>
      </c>
    </row>
    <row r="1431" spans="5:6" x14ac:dyDescent="0.25">
      <c r="E1431" s="147">
        <f t="shared" si="21"/>
        <v>1</v>
      </c>
      <c r="F1431" s="155" cm="1">
        <f t="array" aca="1" ref="F1431" ca="1">IFERROR(_xlfn.STOCKHISTORY("USD/BRL",E1431,E1431,0,0,1),Preços!$C$3)</f>
        <v>6.1798000000000002</v>
      </c>
    </row>
    <row r="1432" spans="5:6" x14ac:dyDescent="0.25">
      <c r="E1432" s="147">
        <f t="shared" si="21"/>
        <v>1</v>
      </c>
      <c r="F1432" s="155" cm="1">
        <f t="array" aca="1" ref="F1432" ca="1">IFERROR(_xlfn.STOCKHISTORY("USD/BRL",E1432,E1432,0,0,1),Preços!$C$3)</f>
        <v>6.1798000000000002</v>
      </c>
    </row>
    <row r="1433" spans="5:6" x14ac:dyDescent="0.25">
      <c r="E1433" s="147">
        <f t="shared" si="21"/>
        <v>1</v>
      </c>
      <c r="F1433" s="155" cm="1">
        <f t="array" aca="1" ref="F1433" ca="1">IFERROR(_xlfn.STOCKHISTORY("USD/BRL",E1433,E1433,0,0,1),Preços!$C$3)</f>
        <v>6.1798000000000002</v>
      </c>
    </row>
    <row r="1434" spans="5:6" x14ac:dyDescent="0.25">
      <c r="E1434" s="147">
        <f t="shared" si="21"/>
        <v>1</v>
      </c>
      <c r="F1434" s="155" cm="1">
        <f t="array" aca="1" ref="F1434" ca="1">IFERROR(_xlfn.STOCKHISTORY("USD/BRL",E1434,E1434,0,0,1),Preços!$C$3)</f>
        <v>6.1798000000000002</v>
      </c>
    </row>
    <row r="1435" spans="5:6" x14ac:dyDescent="0.25">
      <c r="E1435" s="147">
        <f t="shared" si="21"/>
        <v>1</v>
      </c>
      <c r="F1435" s="155" cm="1">
        <f t="array" aca="1" ref="F1435" ca="1">IFERROR(_xlfn.STOCKHISTORY("USD/BRL",E1435,E1435,0,0,1),Preços!$C$3)</f>
        <v>6.1798000000000002</v>
      </c>
    </row>
    <row r="1436" spans="5:6" x14ac:dyDescent="0.25">
      <c r="E1436" s="147">
        <f t="shared" si="21"/>
        <v>1</v>
      </c>
      <c r="F1436" s="155" cm="1">
        <f t="array" aca="1" ref="F1436" ca="1">IFERROR(_xlfn.STOCKHISTORY("USD/BRL",E1436,E1436,0,0,1),Preços!$C$3)</f>
        <v>6.1798000000000002</v>
      </c>
    </row>
    <row r="1437" spans="5:6" x14ac:dyDescent="0.25">
      <c r="E1437" s="147">
        <f t="shared" si="21"/>
        <v>1</v>
      </c>
      <c r="F1437" s="155" cm="1">
        <f t="array" aca="1" ref="F1437" ca="1">IFERROR(_xlfn.STOCKHISTORY("USD/BRL",E1437,E1437,0,0,1),Preços!$C$3)</f>
        <v>6.1798000000000002</v>
      </c>
    </row>
    <row r="1438" spans="5:6" x14ac:dyDescent="0.25">
      <c r="E1438" s="147">
        <f t="shared" si="21"/>
        <v>1</v>
      </c>
      <c r="F1438" s="155" cm="1">
        <f t="array" aca="1" ref="F1438" ca="1">IFERROR(_xlfn.STOCKHISTORY("USD/BRL",E1438,E1438,0,0,1),Preços!$C$3)</f>
        <v>6.1798000000000002</v>
      </c>
    </row>
    <row r="1439" spans="5:6" x14ac:dyDescent="0.25">
      <c r="E1439" s="147">
        <f t="shared" si="21"/>
        <v>1</v>
      </c>
      <c r="F1439" s="155" cm="1">
        <f t="array" aca="1" ref="F1439" ca="1">IFERROR(_xlfn.STOCKHISTORY("USD/BRL",E1439,E1439,0,0,1),Preços!$C$3)</f>
        <v>6.1798000000000002</v>
      </c>
    </row>
    <row r="1440" spans="5:6" x14ac:dyDescent="0.25">
      <c r="E1440" s="147">
        <f t="shared" si="21"/>
        <v>1</v>
      </c>
      <c r="F1440" s="155" cm="1">
        <f t="array" aca="1" ref="F1440" ca="1">IFERROR(_xlfn.STOCKHISTORY("USD/BRL",E1440,E1440,0,0,1),Preços!$C$3)</f>
        <v>6.1798000000000002</v>
      </c>
    </row>
    <row r="1441" spans="5:6" x14ac:dyDescent="0.25">
      <c r="E1441" s="147">
        <f t="shared" si="21"/>
        <v>1</v>
      </c>
      <c r="F1441" s="155" cm="1">
        <f t="array" aca="1" ref="F1441" ca="1">IFERROR(_xlfn.STOCKHISTORY("USD/BRL",E1441,E1441,0,0,1),Preços!$C$3)</f>
        <v>6.1798000000000002</v>
      </c>
    </row>
    <row r="1442" spans="5:6" x14ac:dyDescent="0.25">
      <c r="E1442" s="147">
        <f t="shared" si="21"/>
        <v>1</v>
      </c>
      <c r="F1442" s="155" cm="1">
        <f t="array" aca="1" ref="F1442" ca="1">IFERROR(_xlfn.STOCKHISTORY("USD/BRL",E1442,E1442,0,0,1),Preços!$C$3)</f>
        <v>6.1798000000000002</v>
      </c>
    </row>
    <row r="1443" spans="5:6" x14ac:dyDescent="0.25">
      <c r="E1443" s="147">
        <f t="shared" si="21"/>
        <v>1</v>
      </c>
      <c r="F1443" s="155" cm="1">
        <f t="array" aca="1" ref="F1443" ca="1">IFERROR(_xlfn.STOCKHISTORY("USD/BRL",E1443,E1443,0,0,1),Preços!$C$3)</f>
        <v>6.1798000000000002</v>
      </c>
    </row>
    <row r="1444" spans="5:6" x14ac:dyDescent="0.25">
      <c r="E1444" s="147">
        <f t="shared" si="21"/>
        <v>1</v>
      </c>
      <c r="F1444" s="155" cm="1">
        <f t="array" aca="1" ref="F1444" ca="1">IFERROR(_xlfn.STOCKHISTORY("USD/BRL",E1444,E1444,0,0,1),Preços!$C$3)</f>
        <v>6.1798000000000002</v>
      </c>
    </row>
    <row r="1445" spans="5:6" x14ac:dyDescent="0.25">
      <c r="E1445" s="147">
        <f t="shared" si="21"/>
        <v>1</v>
      </c>
      <c r="F1445" s="155" cm="1">
        <f t="array" aca="1" ref="F1445" ca="1">IFERROR(_xlfn.STOCKHISTORY("USD/BRL",E1445,E1445,0,0,1),Preços!$C$3)</f>
        <v>6.1798000000000002</v>
      </c>
    </row>
    <row r="1446" spans="5:6" x14ac:dyDescent="0.25">
      <c r="E1446" s="147">
        <f t="shared" si="21"/>
        <v>1</v>
      </c>
      <c r="F1446" s="155" cm="1">
        <f t="array" aca="1" ref="F1446" ca="1">IFERROR(_xlfn.STOCKHISTORY("USD/BRL",E1446,E1446,0,0,1),Preços!$C$3)</f>
        <v>6.1798000000000002</v>
      </c>
    </row>
    <row r="1447" spans="5:6" x14ac:dyDescent="0.25">
      <c r="E1447" s="147">
        <f t="shared" si="21"/>
        <v>1</v>
      </c>
      <c r="F1447" s="155" cm="1">
        <f t="array" aca="1" ref="F1447" ca="1">IFERROR(_xlfn.STOCKHISTORY("USD/BRL",E1447,E1447,0,0,1),Preços!$C$3)</f>
        <v>6.1798000000000002</v>
      </c>
    </row>
    <row r="1448" spans="5:6" x14ac:dyDescent="0.25">
      <c r="E1448" s="147">
        <f t="shared" si="21"/>
        <v>1</v>
      </c>
      <c r="F1448" s="155" cm="1">
        <f t="array" aca="1" ref="F1448" ca="1">IFERROR(_xlfn.STOCKHISTORY("USD/BRL",E1448,E1448,0,0,1),Preços!$C$3)</f>
        <v>6.1798000000000002</v>
      </c>
    </row>
    <row r="1449" spans="5:6" x14ac:dyDescent="0.25">
      <c r="E1449" s="147">
        <f t="shared" si="21"/>
        <v>1</v>
      </c>
      <c r="F1449" s="155" cm="1">
        <f t="array" aca="1" ref="F1449" ca="1">IFERROR(_xlfn.STOCKHISTORY("USD/BRL",E1449,E1449,0,0,1),Preços!$C$3)</f>
        <v>6.1798000000000002</v>
      </c>
    </row>
    <row r="1450" spans="5:6" x14ac:dyDescent="0.25">
      <c r="E1450" s="147">
        <f t="shared" si="21"/>
        <v>1</v>
      </c>
      <c r="F1450" s="155" cm="1">
        <f t="array" aca="1" ref="F1450" ca="1">IFERROR(_xlfn.STOCKHISTORY("USD/BRL",E1450,E1450,0,0,1),Preços!$C$3)</f>
        <v>6.1798000000000002</v>
      </c>
    </row>
    <row r="1451" spans="5:6" x14ac:dyDescent="0.25">
      <c r="E1451" s="147">
        <f t="shared" si="21"/>
        <v>1</v>
      </c>
      <c r="F1451" s="155" cm="1">
        <f t="array" aca="1" ref="F1451" ca="1">IFERROR(_xlfn.STOCKHISTORY("USD/BRL",E1451,E1451,0,0,1),Preços!$C$3)</f>
        <v>6.1798000000000002</v>
      </c>
    </row>
    <row r="1452" spans="5:6" x14ac:dyDescent="0.25">
      <c r="E1452" s="147">
        <f t="shared" si="21"/>
        <v>1</v>
      </c>
      <c r="F1452" s="155" cm="1">
        <f t="array" aca="1" ref="F1452" ca="1">IFERROR(_xlfn.STOCKHISTORY("USD/BRL",E1452,E1452,0,0,1),Preços!$C$3)</f>
        <v>6.1798000000000002</v>
      </c>
    </row>
    <row r="1453" spans="5:6" x14ac:dyDescent="0.25">
      <c r="E1453" s="147">
        <f t="shared" si="21"/>
        <v>1</v>
      </c>
      <c r="F1453" s="155" cm="1">
        <f t="array" aca="1" ref="F1453" ca="1">IFERROR(_xlfn.STOCKHISTORY("USD/BRL",E1453,E1453,0,0,1),Preços!$C$3)</f>
        <v>6.1798000000000002</v>
      </c>
    </row>
    <row r="1454" spans="5:6" x14ac:dyDescent="0.25">
      <c r="E1454" s="147">
        <f t="shared" si="21"/>
        <v>1</v>
      </c>
      <c r="F1454" s="155" cm="1">
        <f t="array" aca="1" ref="F1454" ca="1">IFERROR(_xlfn.STOCKHISTORY("USD/BRL",E1454,E1454,0,0,1),Preços!$C$3)</f>
        <v>6.1798000000000002</v>
      </c>
    </row>
    <row r="1455" spans="5:6" x14ac:dyDescent="0.25">
      <c r="E1455" s="147">
        <f t="shared" si="21"/>
        <v>1</v>
      </c>
      <c r="F1455" s="155" cm="1">
        <f t="array" aca="1" ref="F1455" ca="1">IFERROR(_xlfn.STOCKHISTORY("USD/BRL",E1455,E1455,0,0,1),Preços!$C$3)</f>
        <v>6.1798000000000002</v>
      </c>
    </row>
    <row r="1456" spans="5:6" x14ac:dyDescent="0.25">
      <c r="E1456" s="147">
        <f t="shared" si="21"/>
        <v>1</v>
      </c>
      <c r="F1456" s="155" cm="1">
        <f t="array" aca="1" ref="F1456" ca="1">IFERROR(_xlfn.STOCKHISTORY("USD/BRL",E1456,E1456,0,0,1),Preços!$C$3)</f>
        <v>6.1798000000000002</v>
      </c>
    </row>
    <row r="1457" spans="5:6" x14ac:dyDescent="0.25">
      <c r="E1457" s="147">
        <f t="shared" si="21"/>
        <v>1</v>
      </c>
      <c r="F1457" s="155" cm="1">
        <f t="array" aca="1" ref="F1457" ca="1">IFERROR(_xlfn.STOCKHISTORY("USD/BRL",E1457,E1457,0,0,1),Preços!$C$3)</f>
        <v>6.1798000000000002</v>
      </c>
    </row>
    <row r="1458" spans="5:6" x14ac:dyDescent="0.25">
      <c r="E1458" s="147">
        <f t="shared" si="21"/>
        <v>1</v>
      </c>
      <c r="F1458" s="155" cm="1">
        <f t="array" aca="1" ref="F1458" ca="1">IFERROR(_xlfn.STOCKHISTORY("USD/BRL",E1458,E1458,0,0,1),Preços!$C$3)</f>
        <v>6.1798000000000002</v>
      </c>
    </row>
    <row r="1459" spans="5:6" x14ac:dyDescent="0.25">
      <c r="E1459" s="147">
        <f t="shared" si="21"/>
        <v>1</v>
      </c>
      <c r="F1459" s="155" cm="1">
        <f t="array" aca="1" ref="F1459" ca="1">IFERROR(_xlfn.STOCKHISTORY("USD/BRL",E1459,E1459,0,0,1),Preços!$C$3)</f>
        <v>6.1798000000000002</v>
      </c>
    </row>
    <row r="1460" spans="5:6" x14ac:dyDescent="0.25">
      <c r="E1460" s="147">
        <f t="shared" si="21"/>
        <v>1</v>
      </c>
      <c r="F1460" s="155" cm="1">
        <f t="array" aca="1" ref="F1460" ca="1">IFERROR(_xlfn.STOCKHISTORY("USD/BRL",E1460,E1460,0,0,1),Preços!$C$3)</f>
        <v>6.1798000000000002</v>
      </c>
    </row>
    <row r="1461" spans="5:6" x14ac:dyDescent="0.25">
      <c r="E1461" s="147">
        <f t="shared" si="21"/>
        <v>1</v>
      </c>
      <c r="F1461" s="155" cm="1">
        <f t="array" aca="1" ref="F1461" ca="1">IFERROR(_xlfn.STOCKHISTORY("USD/BRL",E1461,E1461,0,0,1),Preços!$C$3)</f>
        <v>6.1798000000000002</v>
      </c>
    </row>
    <row r="1462" spans="5:6" x14ac:dyDescent="0.25">
      <c r="E1462" s="147">
        <f t="shared" si="21"/>
        <v>1</v>
      </c>
      <c r="F1462" s="155" cm="1">
        <f t="array" aca="1" ref="F1462" ca="1">IFERROR(_xlfn.STOCKHISTORY("USD/BRL",E1462,E1462,0,0,1),Preços!$C$3)</f>
        <v>6.1798000000000002</v>
      </c>
    </row>
    <row r="1463" spans="5:6" x14ac:dyDescent="0.25">
      <c r="E1463" s="147">
        <f t="shared" si="21"/>
        <v>1</v>
      </c>
      <c r="F1463" s="155" cm="1">
        <f t="array" aca="1" ref="F1463" ca="1">IFERROR(_xlfn.STOCKHISTORY("USD/BRL",E1463,E1463,0,0,1),Preços!$C$3)</f>
        <v>6.1798000000000002</v>
      </c>
    </row>
    <row r="1464" spans="5:6" x14ac:dyDescent="0.25">
      <c r="E1464" s="147">
        <f t="shared" si="21"/>
        <v>1</v>
      </c>
      <c r="F1464" s="155" cm="1">
        <f t="array" aca="1" ref="F1464" ca="1">IFERROR(_xlfn.STOCKHISTORY("USD/BRL",E1464,E1464,0,0,1),Preços!$C$3)</f>
        <v>6.1798000000000002</v>
      </c>
    </row>
    <row r="1465" spans="5:6" x14ac:dyDescent="0.25">
      <c r="E1465" s="147">
        <f t="shared" si="21"/>
        <v>1</v>
      </c>
      <c r="F1465" s="155" cm="1">
        <f t="array" aca="1" ref="F1465" ca="1">IFERROR(_xlfn.STOCKHISTORY("USD/BRL",E1465,E1465,0,0,1),Preços!$C$3)</f>
        <v>6.1798000000000002</v>
      </c>
    </row>
    <row r="1466" spans="5:6" x14ac:dyDescent="0.25">
      <c r="E1466" s="147">
        <f t="shared" si="21"/>
        <v>1</v>
      </c>
      <c r="F1466" s="155" cm="1">
        <f t="array" aca="1" ref="F1466" ca="1">IFERROR(_xlfn.STOCKHISTORY("USD/BRL",E1466,E1466,0,0,1),Preços!$C$3)</f>
        <v>6.1798000000000002</v>
      </c>
    </row>
    <row r="1467" spans="5:6" x14ac:dyDescent="0.25">
      <c r="E1467" s="147">
        <f t="shared" si="21"/>
        <v>1</v>
      </c>
      <c r="F1467" s="155" cm="1">
        <f t="array" aca="1" ref="F1467" ca="1">IFERROR(_xlfn.STOCKHISTORY("USD/BRL",E1467,E1467,0,0,1),Preços!$C$3)</f>
        <v>6.1798000000000002</v>
      </c>
    </row>
    <row r="1468" spans="5:6" x14ac:dyDescent="0.25">
      <c r="E1468" s="147">
        <f t="shared" si="21"/>
        <v>1</v>
      </c>
      <c r="F1468" s="155" cm="1">
        <f t="array" aca="1" ref="F1468" ca="1">IFERROR(_xlfn.STOCKHISTORY("USD/BRL",E1468,E1468,0,0,1),Preços!$C$3)</f>
        <v>6.1798000000000002</v>
      </c>
    </row>
    <row r="1469" spans="5:6" x14ac:dyDescent="0.25">
      <c r="E1469" s="147">
        <f t="shared" si="21"/>
        <v>1</v>
      </c>
      <c r="F1469" s="155" cm="1">
        <f t="array" aca="1" ref="F1469" ca="1">IFERROR(_xlfn.STOCKHISTORY("USD/BRL",E1469,E1469,0,0,1),Preços!$C$3)</f>
        <v>6.1798000000000002</v>
      </c>
    </row>
    <row r="1470" spans="5:6" x14ac:dyDescent="0.25">
      <c r="E1470" s="147">
        <f t="shared" si="21"/>
        <v>1</v>
      </c>
      <c r="F1470" s="155" cm="1">
        <f t="array" aca="1" ref="F1470" ca="1">IFERROR(_xlfn.STOCKHISTORY("USD/BRL",E1470,E1470,0,0,1),Preços!$C$3)</f>
        <v>6.1798000000000002</v>
      </c>
    </row>
    <row r="1471" spans="5:6" x14ac:dyDescent="0.25">
      <c r="E1471" s="147">
        <f t="shared" si="21"/>
        <v>1</v>
      </c>
      <c r="F1471" s="155" cm="1">
        <f t="array" aca="1" ref="F1471" ca="1">IFERROR(_xlfn.STOCKHISTORY("USD/BRL",E1471,E1471,0,0,1),Preços!$C$3)</f>
        <v>6.1798000000000002</v>
      </c>
    </row>
    <row r="1472" spans="5:6" x14ac:dyDescent="0.25">
      <c r="E1472" s="147">
        <f t="shared" si="21"/>
        <v>1</v>
      </c>
      <c r="F1472" s="155" cm="1">
        <f t="array" aca="1" ref="F1472" ca="1">IFERROR(_xlfn.STOCKHISTORY("USD/BRL",E1472,E1472,0,0,1),Preços!$C$3)</f>
        <v>6.1798000000000002</v>
      </c>
    </row>
    <row r="1473" spans="5:6" x14ac:dyDescent="0.25">
      <c r="E1473" s="147">
        <f t="shared" si="21"/>
        <v>1</v>
      </c>
      <c r="F1473" s="155" cm="1">
        <f t="array" aca="1" ref="F1473" ca="1">IFERROR(_xlfn.STOCKHISTORY("USD/BRL",E1473,E1473,0,0,1),Preços!$C$3)</f>
        <v>6.1798000000000002</v>
      </c>
    </row>
    <row r="1474" spans="5:6" x14ac:dyDescent="0.25">
      <c r="E1474" s="147">
        <f t="shared" si="21"/>
        <v>1</v>
      </c>
      <c r="F1474" s="155" cm="1">
        <f t="array" aca="1" ref="F1474" ca="1">IFERROR(_xlfn.STOCKHISTORY("USD/BRL",E1474,E1474,0,0,1),Preços!$C$3)</f>
        <v>6.1798000000000002</v>
      </c>
    </row>
    <row r="1475" spans="5:6" x14ac:dyDescent="0.25">
      <c r="E1475" s="147">
        <f t="shared" si="21"/>
        <v>1</v>
      </c>
      <c r="F1475" s="155" cm="1">
        <f t="array" aca="1" ref="F1475" ca="1">IFERROR(_xlfn.STOCKHISTORY("USD/BRL",E1475,E1475,0,0,1),Preços!$C$3)</f>
        <v>6.1798000000000002</v>
      </c>
    </row>
    <row r="1476" spans="5:6" x14ac:dyDescent="0.25">
      <c r="E1476" s="147">
        <f t="shared" ref="E1476:E1539" si="22">DATE(YEAR(D1382),MONTH(D1382),1)</f>
        <v>1</v>
      </c>
      <c r="F1476" s="155" cm="1">
        <f t="array" aca="1" ref="F1476" ca="1">IFERROR(_xlfn.STOCKHISTORY("USD/BRL",E1476,E1476,0,0,1),Preços!$C$3)</f>
        <v>6.1798000000000002</v>
      </c>
    </row>
    <row r="1477" spans="5:6" x14ac:dyDescent="0.25">
      <c r="E1477" s="147">
        <f t="shared" si="22"/>
        <v>1</v>
      </c>
      <c r="F1477" s="155" cm="1">
        <f t="array" aca="1" ref="F1477" ca="1">IFERROR(_xlfn.STOCKHISTORY("USD/BRL",E1477,E1477,0,0,1),Preços!$C$3)</f>
        <v>6.1798000000000002</v>
      </c>
    </row>
    <row r="1478" spans="5:6" x14ac:dyDescent="0.25">
      <c r="E1478" s="147">
        <f t="shared" si="22"/>
        <v>1</v>
      </c>
      <c r="F1478" s="155" cm="1">
        <f t="array" aca="1" ref="F1478" ca="1">IFERROR(_xlfn.STOCKHISTORY("USD/BRL",E1478,E1478,0,0,1),Preços!$C$3)</f>
        <v>6.1798000000000002</v>
      </c>
    </row>
    <row r="1479" spans="5:6" x14ac:dyDescent="0.25">
      <c r="E1479" s="147">
        <f t="shared" si="22"/>
        <v>1</v>
      </c>
      <c r="F1479" s="155" cm="1">
        <f t="array" aca="1" ref="F1479" ca="1">IFERROR(_xlfn.STOCKHISTORY("USD/BRL",E1479,E1479,0,0,1),Preços!$C$3)</f>
        <v>6.1798000000000002</v>
      </c>
    </row>
    <row r="1480" spans="5:6" x14ac:dyDescent="0.25">
      <c r="E1480" s="147">
        <f t="shared" si="22"/>
        <v>1</v>
      </c>
      <c r="F1480" s="155" cm="1">
        <f t="array" aca="1" ref="F1480" ca="1">IFERROR(_xlfn.STOCKHISTORY("USD/BRL",E1480,E1480,0,0,1),Preços!$C$3)</f>
        <v>6.1798000000000002</v>
      </c>
    </row>
    <row r="1481" spans="5:6" x14ac:dyDescent="0.25">
      <c r="E1481" s="147">
        <f t="shared" si="22"/>
        <v>1</v>
      </c>
      <c r="F1481" s="155" cm="1">
        <f t="array" aca="1" ref="F1481" ca="1">IFERROR(_xlfn.STOCKHISTORY("USD/BRL",E1481,E1481,0,0,1),Preços!$C$3)</f>
        <v>6.1798000000000002</v>
      </c>
    </row>
    <row r="1482" spans="5:6" x14ac:dyDescent="0.25">
      <c r="E1482" s="147">
        <f t="shared" si="22"/>
        <v>1</v>
      </c>
      <c r="F1482" s="155" cm="1">
        <f t="array" aca="1" ref="F1482" ca="1">IFERROR(_xlfn.STOCKHISTORY("USD/BRL",E1482,E1482,0,0,1),Preços!$C$3)</f>
        <v>6.1798000000000002</v>
      </c>
    </row>
    <row r="1483" spans="5:6" x14ac:dyDescent="0.25">
      <c r="E1483" s="147">
        <f t="shared" si="22"/>
        <v>1</v>
      </c>
      <c r="F1483" s="155" cm="1">
        <f t="array" aca="1" ref="F1483" ca="1">IFERROR(_xlfn.STOCKHISTORY("USD/BRL",E1483,E1483,0,0,1),Preços!$C$3)</f>
        <v>6.1798000000000002</v>
      </c>
    </row>
    <row r="1484" spans="5:6" x14ac:dyDescent="0.25">
      <c r="E1484" s="147">
        <f t="shared" si="22"/>
        <v>1</v>
      </c>
      <c r="F1484" s="155" cm="1">
        <f t="array" aca="1" ref="F1484" ca="1">IFERROR(_xlfn.STOCKHISTORY("USD/BRL",E1484,E1484,0,0,1),Preços!$C$3)</f>
        <v>6.1798000000000002</v>
      </c>
    </row>
    <row r="1485" spans="5:6" x14ac:dyDescent="0.25">
      <c r="E1485" s="147">
        <f t="shared" si="22"/>
        <v>1</v>
      </c>
      <c r="F1485" s="155" cm="1">
        <f t="array" aca="1" ref="F1485" ca="1">IFERROR(_xlfn.STOCKHISTORY("USD/BRL",E1485,E1485,0,0,1),Preços!$C$3)</f>
        <v>6.1798000000000002</v>
      </c>
    </row>
    <row r="1486" spans="5:6" x14ac:dyDescent="0.25">
      <c r="E1486" s="147">
        <f t="shared" si="22"/>
        <v>1</v>
      </c>
      <c r="F1486" s="155" cm="1">
        <f t="array" aca="1" ref="F1486" ca="1">IFERROR(_xlfn.STOCKHISTORY("USD/BRL",E1486,E1486,0,0,1),Preços!$C$3)</f>
        <v>6.1798000000000002</v>
      </c>
    </row>
    <row r="1487" spans="5:6" x14ac:dyDescent="0.25">
      <c r="E1487" s="147">
        <f t="shared" si="22"/>
        <v>1</v>
      </c>
      <c r="F1487" s="155" cm="1">
        <f t="array" aca="1" ref="F1487" ca="1">IFERROR(_xlfn.STOCKHISTORY("USD/BRL",E1487,E1487,0,0,1),Preços!$C$3)</f>
        <v>6.1798000000000002</v>
      </c>
    </row>
    <row r="1488" spans="5:6" x14ac:dyDescent="0.25">
      <c r="E1488" s="147">
        <f t="shared" si="22"/>
        <v>1</v>
      </c>
      <c r="F1488" s="155" cm="1">
        <f t="array" aca="1" ref="F1488" ca="1">IFERROR(_xlfn.STOCKHISTORY("USD/BRL",E1488,E1488,0,0,1),Preços!$C$3)</f>
        <v>6.1798000000000002</v>
      </c>
    </row>
    <row r="1489" spans="5:6" x14ac:dyDescent="0.25">
      <c r="E1489" s="147">
        <f t="shared" si="22"/>
        <v>1</v>
      </c>
      <c r="F1489" s="155" cm="1">
        <f t="array" aca="1" ref="F1489" ca="1">IFERROR(_xlfn.STOCKHISTORY("USD/BRL",E1489,E1489,0,0,1),Preços!$C$3)</f>
        <v>6.1798000000000002</v>
      </c>
    </row>
    <row r="1490" spans="5:6" x14ac:dyDescent="0.25">
      <c r="E1490" s="147">
        <f t="shared" si="22"/>
        <v>1</v>
      </c>
      <c r="F1490" s="155" cm="1">
        <f t="array" aca="1" ref="F1490" ca="1">IFERROR(_xlfn.STOCKHISTORY("USD/BRL",E1490,E1490,0,0,1),Preços!$C$3)</f>
        <v>6.1798000000000002</v>
      </c>
    </row>
    <row r="1491" spans="5:6" x14ac:dyDescent="0.25">
      <c r="E1491" s="147">
        <f t="shared" si="22"/>
        <v>1</v>
      </c>
      <c r="F1491" s="155" cm="1">
        <f t="array" aca="1" ref="F1491" ca="1">IFERROR(_xlfn.STOCKHISTORY("USD/BRL",E1491,E1491,0,0,1),Preços!$C$3)</f>
        <v>6.1798000000000002</v>
      </c>
    </row>
    <row r="1492" spans="5:6" x14ac:dyDescent="0.25">
      <c r="E1492" s="147">
        <f t="shared" si="22"/>
        <v>1</v>
      </c>
      <c r="F1492" s="155" cm="1">
        <f t="array" aca="1" ref="F1492" ca="1">IFERROR(_xlfn.STOCKHISTORY("USD/BRL",E1492,E1492,0,0,1),Preços!$C$3)</f>
        <v>6.1798000000000002</v>
      </c>
    </row>
    <row r="1493" spans="5:6" x14ac:dyDescent="0.25">
      <c r="E1493" s="147">
        <f t="shared" si="22"/>
        <v>1</v>
      </c>
      <c r="F1493" s="155" cm="1">
        <f t="array" aca="1" ref="F1493" ca="1">IFERROR(_xlfn.STOCKHISTORY("USD/BRL",E1493,E1493,0,0,1),Preços!$C$3)</f>
        <v>6.1798000000000002</v>
      </c>
    </row>
    <row r="1494" spans="5:6" x14ac:dyDescent="0.25">
      <c r="E1494" s="147">
        <f t="shared" si="22"/>
        <v>1</v>
      </c>
      <c r="F1494" s="155" cm="1">
        <f t="array" aca="1" ref="F1494" ca="1">IFERROR(_xlfn.STOCKHISTORY("USD/BRL",E1494,E1494,0,0,1),Preços!$C$3)</f>
        <v>6.1798000000000002</v>
      </c>
    </row>
    <row r="1495" spans="5:6" x14ac:dyDescent="0.25">
      <c r="E1495" s="147">
        <f t="shared" si="22"/>
        <v>1</v>
      </c>
      <c r="F1495" s="155" cm="1">
        <f t="array" aca="1" ref="F1495" ca="1">IFERROR(_xlfn.STOCKHISTORY("USD/BRL",E1495,E1495,0,0,1),Preços!$C$3)</f>
        <v>6.1798000000000002</v>
      </c>
    </row>
    <row r="1496" spans="5:6" x14ac:dyDescent="0.25">
      <c r="E1496" s="147">
        <f t="shared" si="22"/>
        <v>1</v>
      </c>
      <c r="F1496" s="155" cm="1">
        <f t="array" aca="1" ref="F1496" ca="1">IFERROR(_xlfn.STOCKHISTORY("USD/BRL",E1496,E1496,0,0,1),Preços!$C$3)</f>
        <v>6.1798000000000002</v>
      </c>
    </row>
    <row r="1497" spans="5:6" x14ac:dyDescent="0.25">
      <c r="E1497" s="147">
        <f t="shared" si="22"/>
        <v>1</v>
      </c>
      <c r="F1497" s="155" cm="1">
        <f t="array" aca="1" ref="F1497" ca="1">IFERROR(_xlfn.STOCKHISTORY("USD/BRL",E1497,E1497,0,0,1),Preços!$C$3)</f>
        <v>6.1798000000000002</v>
      </c>
    </row>
    <row r="1498" spans="5:6" x14ac:dyDescent="0.25">
      <c r="E1498" s="147">
        <f t="shared" si="22"/>
        <v>1</v>
      </c>
      <c r="F1498" s="155" cm="1">
        <f t="array" aca="1" ref="F1498" ca="1">IFERROR(_xlfn.STOCKHISTORY("USD/BRL",E1498,E1498,0,0,1),Preços!$C$3)</f>
        <v>6.1798000000000002</v>
      </c>
    </row>
    <row r="1499" spans="5:6" x14ac:dyDescent="0.25">
      <c r="E1499" s="147">
        <f t="shared" si="22"/>
        <v>1</v>
      </c>
      <c r="F1499" s="155" cm="1">
        <f t="array" aca="1" ref="F1499" ca="1">IFERROR(_xlfn.STOCKHISTORY("USD/BRL",E1499,E1499,0,0,1),Preços!$C$3)</f>
        <v>6.1798000000000002</v>
      </c>
    </row>
    <row r="1500" spans="5:6" x14ac:dyDescent="0.25">
      <c r="E1500" s="147">
        <f t="shared" si="22"/>
        <v>1</v>
      </c>
      <c r="F1500" s="155" cm="1">
        <f t="array" aca="1" ref="F1500" ca="1">IFERROR(_xlfn.STOCKHISTORY("USD/BRL",E1500,E1500,0,0,1),Preços!$C$3)</f>
        <v>6.1798000000000002</v>
      </c>
    </row>
    <row r="1501" spans="5:6" x14ac:dyDescent="0.25">
      <c r="E1501" s="147">
        <f t="shared" si="22"/>
        <v>1</v>
      </c>
      <c r="F1501" s="155" cm="1">
        <f t="array" aca="1" ref="F1501" ca="1">IFERROR(_xlfn.STOCKHISTORY("USD/BRL",E1501,E1501,0,0,1),Preços!$C$3)</f>
        <v>6.1798000000000002</v>
      </c>
    </row>
    <row r="1502" spans="5:6" x14ac:dyDescent="0.25">
      <c r="E1502" s="147">
        <f t="shared" si="22"/>
        <v>1</v>
      </c>
      <c r="F1502" s="155" cm="1">
        <f t="array" aca="1" ref="F1502" ca="1">IFERROR(_xlfn.STOCKHISTORY("USD/BRL",E1502,E1502,0,0,1),Preços!$C$3)</f>
        <v>6.1798000000000002</v>
      </c>
    </row>
    <row r="1503" spans="5:6" x14ac:dyDescent="0.25">
      <c r="E1503" s="147">
        <f t="shared" si="22"/>
        <v>1</v>
      </c>
      <c r="F1503" s="155" cm="1">
        <f t="array" aca="1" ref="F1503" ca="1">IFERROR(_xlfn.STOCKHISTORY("USD/BRL",E1503,E1503,0,0,1),Preços!$C$3)</f>
        <v>6.1798000000000002</v>
      </c>
    </row>
    <row r="1504" spans="5:6" x14ac:dyDescent="0.25">
      <c r="E1504" s="147">
        <f t="shared" si="22"/>
        <v>1</v>
      </c>
      <c r="F1504" s="155" cm="1">
        <f t="array" aca="1" ref="F1504" ca="1">IFERROR(_xlfn.STOCKHISTORY("USD/BRL",E1504,E1504,0,0,1),Preços!$C$3)</f>
        <v>6.1798000000000002</v>
      </c>
    </row>
    <row r="1505" spans="5:6" x14ac:dyDescent="0.25">
      <c r="E1505" s="147">
        <f t="shared" si="22"/>
        <v>1</v>
      </c>
      <c r="F1505" s="155" cm="1">
        <f t="array" aca="1" ref="F1505" ca="1">IFERROR(_xlfn.STOCKHISTORY("USD/BRL",E1505,E1505,0,0,1),Preços!$C$3)</f>
        <v>6.1798000000000002</v>
      </c>
    </row>
    <row r="1506" spans="5:6" x14ac:dyDescent="0.25">
      <c r="E1506" s="147">
        <f t="shared" si="22"/>
        <v>1</v>
      </c>
      <c r="F1506" s="155" cm="1">
        <f t="array" aca="1" ref="F1506" ca="1">IFERROR(_xlfn.STOCKHISTORY("USD/BRL",E1506,E1506,0,0,1),Preços!$C$3)</f>
        <v>6.1798000000000002</v>
      </c>
    </row>
    <row r="1507" spans="5:6" x14ac:dyDescent="0.25">
      <c r="E1507" s="147">
        <f t="shared" si="22"/>
        <v>1</v>
      </c>
      <c r="F1507" s="155" cm="1">
        <f t="array" aca="1" ref="F1507" ca="1">IFERROR(_xlfn.STOCKHISTORY("USD/BRL",E1507,E1507,0,0,1),Preços!$C$3)</f>
        <v>6.1798000000000002</v>
      </c>
    </row>
    <row r="1508" spans="5:6" x14ac:dyDescent="0.25">
      <c r="E1508" s="147">
        <f t="shared" si="22"/>
        <v>1</v>
      </c>
      <c r="F1508" s="155" cm="1">
        <f t="array" aca="1" ref="F1508" ca="1">IFERROR(_xlfn.STOCKHISTORY("USD/BRL",E1508,E1508,0,0,1),Preços!$C$3)</f>
        <v>6.1798000000000002</v>
      </c>
    </row>
    <row r="1509" spans="5:6" x14ac:dyDescent="0.25">
      <c r="E1509" s="147">
        <f t="shared" si="22"/>
        <v>1</v>
      </c>
      <c r="F1509" s="155" cm="1">
        <f t="array" aca="1" ref="F1509" ca="1">IFERROR(_xlfn.STOCKHISTORY("USD/BRL",E1509,E1509,0,0,1),Preços!$C$3)</f>
        <v>6.1798000000000002</v>
      </c>
    </row>
    <row r="1510" spans="5:6" x14ac:dyDescent="0.25">
      <c r="E1510" s="147">
        <f t="shared" si="22"/>
        <v>1</v>
      </c>
      <c r="F1510" s="155" cm="1">
        <f t="array" aca="1" ref="F1510" ca="1">IFERROR(_xlfn.STOCKHISTORY("USD/BRL",E1510,E1510,0,0,1),Preços!$C$3)</f>
        <v>6.1798000000000002</v>
      </c>
    </row>
    <row r="1511" spans="5:6" x14ac:dyDescent="0.25">
      <c r="E1511" s="147">
        <f t="shared" si="22"/>
        <v>1</v>
      </c>
      <c r="F1511" s="155" cm="1">
        <f t="array" aca="1" ref="F1511" ca="1">IFERROR(_xlfn.STOCKHISTORY("USD/BRL",E1511,E1511,0,0,1),Preços!$C$3)</f>
        <v>6.1798000000000002</v>
      </c>
    </row>
    <row r="1512" spans="5:6" x14ac:dyDescent="0.25">
      <c r="E1512" s="147">
        <f t="shared" si="22"/>
        <v>1</v>
      </c>
      <c r="F1512" s="155" cm="1">
        <f t="array" aca="1" ref="F1512" ca="1">IFERROR(_xlfn.STOCKHISTORY("USD/BRL",E1512,E1512,0,0,1),Preços!$C$3)</f>
        <v>6.1798000000000002</v>
      </c>
    </row>
    <row r="1513" spans="5:6" x14ac:dyDescent="0.25">
      <c r="E1513" s="147">
        <f t="shared" si="22"/>
        <v>1</v>
      </c>
      <c r="F1513" s="155" cm="1">
        <f t="array" aca="1" ref="F1513" ca="1">IFERROR(_xlfn.STOCKHISTORY("USD/BRL",E1513,E1513,0,0,1),Preços!$C$3)</f>
        <v>6.1798000000000002</v>
      </c>
    </row>
    <row r="1514" spans="5:6" x14ac:dyDescent="0.25">
      <c r="E1514" s="147">
        <f t="shared" si="22"/>
        <v>1</v>
      </c>
      <c r="F1514" s="155" cm="1">
        <f t="array" aca="1" ref="F1514" ca="1">IFERROR(_xlfn.STOCKHISTORY("USD/BRL",E1514,E1514,0,0,1),Preços!$C$3)</f>
        <v>6.1798000000000002</v>
      </c>
    </row>
    <row r="1515" spans="5:6" x14ac:dyDescent="0.25">
      <c r="E1515" s="147">
        <f t="shared" si="22"/>
        <v>1</v>
      </c>
      <c r="F1515" s="155" cm="1">
        <f t="array" aca="1" ref="F1515" ca="1">IFERROR(_xlfn.STOCKHISTORY("USD/BRL",E1515,E1515,0,0,1),Preços!$C$3)</f>
        <v>6.1798000000000002</v>
      </c>
    </row>
    <row r="1516" spans="5:6" x14ac:dyDescent="0.25">
      <c r="E1516" s="147">
        <f t="shared" si="22"/>
        <v>1</v>
      </c>
      <c r="F1516" s="155" cm="1">
        <f t="array" aca="1" ref="F1516" ca="1">IFERROR(_xlfn.STOCKHISTORY("USD/BRL",E1516,E1516,0,0,1),Preços!$C$3)</f>
        <v>6.1798000000000002</v>
      </c>
    </row>
    <row r="1517" spans="5:6" x14ac:dyDescent="0.25">
      <c r="E1517" s="147">
        <f t="shared" si="22"/>
        <v>1</v>
      </c>
      <c r="F1517" s="155" cm="1">
        <f t="array" aca="1" ref="F1517" ca="1">IFERROR(_xlfn.STOCKHISTORY("USD/BRL",E1517,E1517,0,0,1),Preços!$C$3)</f>
        <v>6.1798000000000002</v>
      </c>
    </row>
    <row r="1518" spans="5:6" x14ac:dyDescent="0.25">
      <c r="E1518" s="147">
        <f t="shared" si="22"/>
        <v>1</v>
      </c>
      <c r="F1518" s="155" cm="1">
        <f t="array" aca="1" ref="F1518" ca="1">IFERROR(_xlfn.STOCKHISTORY("USD/BRL",E1518,E1518,0,0,1),Preços!$C$3)</f>
        <v>6.1798000000000002</v>
      </c>
    </row>
    <row r="1519" spans="5:6" x14ac:dyDescent="0.25">
      <c r="E1519" s="147">
        <f t="shared" si="22"/>
        <v>1</v>
      </c>
      <c r="F1519" s="155" cm="1">
        <f t="array" aca="1" ref="F1519" ca="1">IFERROR(_xlfn.STOCKHISTORY("USD/BRL",E1519,E1519,0,0,1),Preços!$C$3)</f>
        <v>6.1798000000000002</v>
      </c>
    </row>
    <row r="1520" spans="5:6" x14ac:dyDescent="0.25">
      <c r="E1520" s="147">
        <f t="shared" si="22"/>
        <v>1</v>
      </c>
      <c r="F1520" s="155" cm="1">
        <f t="array" aca="1" ref="F1520" ca="1">IFERROR(_xlfn.STOCKHISTORY("USD/BRL",E1520,E1520,0,0,1),Preços!$C$3)</f>
        <v>6.1798000000000002</v>
      </c>
    </row>
    <row r="1521" spans="5:6" x14ac:dyDescent="0.25">
      <c r="E1521" s="147">
        <f t="shared" si="22"/>
        <v>1</v>
      </c>
      <c r="F1521" s="155" cm="1">
        <f t="array" aca="1" ref="F1521" ca="1">IFERROR(_xlfn.STOCKHISTORY("USD/BRL",E1521,E1521,0,0,1),Preços!$C$3)</f>
        <v>6.1798000000000002</v>
      </c>
    </row>
    <row r="1522" spans="5:6" x14ac:dyDescent="0.25">
      <c r="E1522" s="147">
        <f t="shared" si="22"/>
        <v>1</v>
      </c>
      <c r="F1522" s="155" cm="1">
        <f t="array" aca="1" ref="F1522" ca="1">IFERROR(_xlfn.STOCKHISTORY("USD/BRL",E1522,E1522,0,0,1),Preços!$C$3)</f>
        <v>6.1798000000000002</v>
      </c>
    </row>
    <row r="1523" spans="5:6" x14ac:dyDescent="0.25">
      <c r="E1523" s="147">
        <f t="shared" si="22"/>
        <v>1</v>
      </c>
      <c r="F1523" s="155" cm="1">
        <f t="array" aca="1" ref="F1523" ca="1">IFERROR(_xlfn.STOCKHISTORY("USD/BRL",E1523,E1523,0,0,1),Preços!$C$3)</f>
        <v>6.1798000000000002</v>
      </c>
    </row>
    <row r="1524" spans="5:6" x14ac:dyDescent="0.25">
      <c r="E1524" s="147">
        <f t="shared" si="22"/>
        <v>1</v>
      </c>
      <c r="F1524" s="155" cm="1">
        <f t="array" aca="1" ref="F1524" ca="1">IFERROR(_xlfn.STOCKHISTORY("USD/BRL",E1524,E1524,0,0,1),Preços!$C$3)</f>
        <v>6.1798000000000002</v>
      </c>
    </row>
    <row r="1525" spans="5:6" x14ac:dyDescent="0.25">
      <c r="E1525" s="147">
        <f t="shared" si="22"/>
        <v>1</v>
      </c>
      <c r="F1525" s="155" cm="1">
        <f t="array" aca="1" ref="F1525" ca="1">IFERROR(_xlfn.STOCKHISTORY("USD/BRL",E1525,E1525,0,0,1),Preços!$C$3)</f>
        <v>6.1798000000000002</v>
      </c>
    </row>
    <row r="1526" spans="5:6" x14ac:dyDescent="0.25">
      <c r="E1526" s="147">
        <f t="shared" si="22"/>
        <v>1</v>
      </c>
      <c r="F1526" s="155" cm="1">
        <f t="array" aca="1" ref="F1526" ca="1">IFERROR(_xlfn.STOCKHISTORY("USD/BRL",E1526,E1526,0,0,1),Preços!$C$3)</f>
        <v>6.1798000000000002</v>
      </c>
    </row>
    <row r="1527" spans="5:6" x14ac:dyDescent="0.25">
      <c r="E1527" s="147">
        <f t="shared" si="22"/>
        <v>1</v>
      </c>
      <c r="F1527" s="155" cm="1">
        <f t="array" aca="1" ref="F1527" ca="1">IFERROR(_xlfn.STOCKHISTORY("USD/BRL",E1527,E1527,0,0,1),Preços!$C$3)</f>
        <v>6.1798000000000002</v>
      </c>
    </row>
    <row r="1528" spans="5:6" x14ac:dyDescent="0.25">
      <c r="E1528" s="147">
        <f t="shared" si="22"/>
        <v>1</v>
      </c>
      <c r="F1528" s="155" cm="1">
        <f t="array" aca="1" ref="F1528" ca="1">IFERROR(_xlfn.STOCKHISTORY("USD/BRL",E1528,E1528,0,0,1),Preços!$C$3)</f>
        <v>6.1798000000000002</v>
      </c>
    </row>
    <row r="1529" spans="5:6" x14ac:dyDescent="0.25">
      <c r="E1529" s="147">
        <f t="shared" si="22"/>
        <v>1</v>
      </c>
      <c r="F1529" s="155" cm="1">
        <f t="array" aca="1" ref="F1529" ca="1">IFERROR(_xlfn.STOCKHISTORY("USD/BRL",E1529,E1529,0,0,1),Preços!$C$3)</f>
        <v>6.1798000000000002</v>
      </c>
    </row>
    <row r="1530" spans="5:6" x14ac:dyDescent="0.25">
      <c r="E1530" s="147">
        <f t="shared" si="22"/>
        <v>1</v>
      </c>
      <c r="F1530" s="155" cm="1">
        <f t="array" aca="1" ref="F1530" ca="1">IFERROR(_xlfn.STOCKHISTORY("USD/BRL",E1530,E1530,0,0,1),Preços!$C$3)</f>
        <v>6.1798000000000002</v>
      </c>
    </row>
    <row r="1531" spans="5:6" x14ac:dyDescent="0.25">
      <c r="E1531" s="147">
        <f t="shared" si="22"/>
        <v>1</v>
      </c>
      <c r="F1531" s="155" cm="1">
        <f t="array" aca="1" ref="F1531" ca="1">IFERROR(_xlfn.STOCKHISTORY("USD/BRL",E1531,E1531,0,0,1),Preços!$C$3)</f>
        <v>6.1798000000000002</v>
      </c>
    </row>
    <row r="1532" spans="5:6" x14ac:dyDescent="0.25">
      <c r="E1532" s="147">
        <f t="shared" si="22"/>
        <v>1</v>
      </c>
      <c r="F1532" s="155" cm="1">
        <f t="array" aca="1" ref="F1532" ca="1">IFERROR(_xlfn.STOCKHISTORY("USD/BRL",E1532,E1532,0,0,1),Preços!$C$3)</f>
        <v>6.1798000000000002</v>
      </c>
    </row>
    <row r="1533" spans="5:6" x14ac:dyDescent="0.25">
      <c r="E1533" s="147">
        <f t="shared" si="22"/>
        <v>1</v>
      </c>
      <c r="F1533" s="155" cm="1">
        <f t="array" aca="1" ref="F1533" ca="1">IFERROR(_xlfn.STOCKHISTORY("USD/BRL",E1533,E1533,0,0,1),Preços!$C$3)</f>
        <v>6.1798000000000002</v>
      </c>
    </row>
    <row r="1534" spans="5:6" x14ac:dyDescent="0.25">
      <c r="E1534" s="147">
        <f t="shared" si="22"/>
        <v>1</v>
      </c>
      <c r="F1534" s="155" cm="1">
        <f t="array" aca="1" ref="F1534" ca="1">IFERROR(_xlfn.STOCKHISTORY("USD/BRL",E1534,E1534,0,0,1),Preços!$C$3)</f>
        <v>6.1798000000000002</v>
      </c>
    </row>
    <row r="1535" spans="5:6" x14ac:dyDescent="0.25">
      <c r="E1535" s="147">
        <f t="shared" si="22"/>
        <v>1</v>
      </c>
      <c r="F1535" s="155" cm="1">
        <f t="array" aca="1" ref="F1535" ca="1">IFERROR(_xlfn.STOCKHISTORY("USD/BRL",E1535,E1535,0,0,1),Preços!$C$3)</f>
        <v>6.1798000000000002</v>
      </c>
    </row>
    <row r="1536" spans="5:6" x14ac:dyDescent="0.25">
      <c r="E1536" s="147">
        <f t="shared" si="22"/>
        <v>1</v>
      </c>
      <c r="F1536" s="155" cm="1">
        <f t="array" aca="1" ref="F1536" ca="1">IFERROR(_xlfn.STOCKHISTORY("USD/BRL",E1536,E1536,0,0,1),Preços!$C$3)</f>
        <v>6.1798000000000002</v>
      </c>
    </row>
    <row r="1537" spans="5:6" x14ac:dyDescent="0.25">
      <c r="E1537" s="147">
        <f t="shared" si="22"/>
        <v>1</v>
      </c>
      <c r="F1537" s="155" cm="1">
        <f t="array" aca="1" ref="F1537" ca="1">IFERROR(_xlfn.STOCKHISTORY("USD/BRL",E1537,E1537,0,0,1),Preços!$C$3)</f>
        <v>6.1798000000000002</v>
      </c>
    </row>
    <row r="1538" spans="5:6" x14ac:dyDescent="0.25">
      <c r="E1538" s="147">
        <f t="shared" si="22"/>
        <v>1</v>
      </c>
      <c r="F1538" s="155" cm="1">
        <f t="array" aca="1" ref="F1538" ca="1">IFERROR(_xlfn.STOCKHISTORY("USD/BRL",E1538,E1538,0,0,1),Preços!$C$3)</f>
        <v>6.1798000000000002</v>
      </c>
    </row>
    <row r="1539" spans="5:6" x14ac:dyDescent="0.25">
      <c r="E1539" s="147">
        <f t="shared" si="22"/>
        <v>1</v>
      </c>
      <c r="F1539" s="155" cm="1">
        <f t="array" aca="1" ref="F1539" ca="1">IFERROR(_xlfn.STOCKHISTORY("USD/BRL",E1539,E1539,0,0,1),Preços!$C$3)</f>
        <v>6.1798000000000002</v>
      </c>
    </row>
    <row r="1540" spans="5:6" x14ac:dyDescent="0.25">
      <c r="E1540" s="147">
        <f t="shared" ref="E1540:E1603" si="23">DATE(YEAR(D1446),MONTH(D1446),1)</f>
        <v>1</v>
      </c>
      <c r="F1540" s="155" cm="1">
        <f t="array" aca="1" ref="F1540" ca="1">IFERROR(_xlfn.STOCKHISTORY("USD/BRL",E1540,E1540,0,0,1),Preços!$C$3)</f>
        <v>6.1798000000000002</v>
      </c>
    </row>
    <row r="1541" spans="5:6" x14ac:dyDescent="0.25">
      <c r="E1541" s="147">
        <f t="shared" si="23"/>
        <v>1</v>
      </c>
      <c r="F1541" s="155" cm="1">
        <f t="array" aca="1" ref="F1541" ca="1">IFERROR(_xlfn.STOCKHISTORY("USD/BRL",E1541,E1541,0,0,1),Preços!$C$3)</f>
        <v>6.1798000000000002</v>
      </c>
    </row>
    <row r="1542" spans="5:6" x14ac:dyDescent="0.25">
      <c r="E1542" s="147">
        <f t="shared" si="23"/>
        <v>1</v>
      </c>
      <c r="F1542" s="155" cm="1">
        <f t="array" aca="1" ref="F1542" ca="1">IFERROR(_xlfn.STOCKHISTORY("USD/BRL",E1542,E1542,0,0,1),Preços!$C$3)</f>
        <v>6.1798000000000002</v>
      </c>
    </row>
    <row r="1543" spans="5:6" x14ac:dyDescent="0.25">
      <c r="E1543" s="147">
        <f t="shared" si="23"/>
        <v>1</v>
      </c>
      <c r="F1543" s="155" cm="1">
        <f t="array" aca="1" ref="F1543" ca="1">IFERROR(_xlfn.STOCKHISTORY("USD/BRL",E1543,E1543,0,0,1),Preços!$C$3)</f>
        <v>6.1798000000000002</v>
      </c>
    </row>
    <row r="1544" spans="5:6" x14ac:dyDescent="0.25">
      <c r="E1544" s="147">
        <f t="shared" si="23"/>
        <v>1</v>
      </c>
      <c r="F1544" s="155" cm="1">
        <f t="array" aca="1" ref="F1544" ca="1">IFERROR(_xlfn.STOCKHISTORY("USD/BRL",E1544,E1544,0,0,1),Preços!$C$3)</f>
        <v>6.1798000000000002</v>
      </c>
    </row>
    <row r="1545" spans="5:6" x14ac:dyDescent="0.25">
      <c r="E1545" s="147">
        <f t="shared" si="23"/>
        <v>1</v>
      </c>
      <c r="F1545" s="155" cm="1">
        <f t="array" aca="1" ref="F1545" ca="1">IFERROR(_xlfn.STOCKHISTORY("USD/BRL",E1545,E1545,0,0,1),Preços!$C$3)</f>
        <v>6.1798000000000002</v>
      </c>
    </row>
    <row r="1546" spans="5:6" x14ac:dyDescent="0.25">
      <c r="E1546" s="147">
        <f t="shared" si="23"/>
        <v>1</v>
      </c>
      <c r="F1546" s="155" cm="1">
        <f t="array" aca="1" ref="F1546" ca="1">IFERROR(_xlfn.STOCKHISTORY("USD/BRL",E1546,E1546,0,0,1),Preços!$C$3)</f>
        <v>6.1798000000000002</v>
      </c>
    </row>
    <row r="1547" spans="5:6" x14ac:dyDescent="0.25">
      <c r="E1547" s="147">
        <f t="shared" si="23"/>
        <v>1</v>
      </c>
      <c r="F1547" s="155" cm="1">
        <f t="array" aca="1" ref="F1547" ca="1">IFERROR(_xlfn.STOCKHISTORY("USD/BRL",E1547,E1547,0,0,1),Preços!$C$3)</f>
        <v>6.1798000000000002</v>
      </c>
    </row>
    <row r="1548" spans="5:6" x14ac:dyDescent="0.25">
      <c r="E1548" s="147">
        <f t="shared" si="23"/>
        <v>1</v>
      </c>
      <c r="F1548" s="155" cm="1">
        <f t="array" aca="1" ref="F1548" ca="1">IFERROR(_xlfn.STOCKHISTORY("USD/BRL",E1548,E1548,0,0,1),Preços!$C$3)</f>
        <v>6.1798000000000002</v>
      </c>
    </row>
    <row r="1549" spans="5:6" x14ac:dyDescent="0.25">
      <c r="E1549" s="147">
        <f t="shared" si="23"/>
        <v>1</v>
      </c>
      <c r="F1549" s="155" cm="1">
        <f t="array" aca="1" ref="F1549" ca="1">IFERROR(_xlfn.STOCKHISTORY("USD/BRL",E1549,E1549,0,0,1),Preços!$C$3)</f>
        <v>6.1798000000000002</v>
      </c>
    </row>
    <row r="1550" spans="5:6" x14ac:dyDescent="0.25">
      <c r="E1550" s="147">
        <f t="shared" si="23"/>
        <v>1</v>
      </c>
      <c r="F1550" s="155" cm="1">
        <f t="array" aca="1" ref="F1550" ca="1">IFERROR(_xlfn.STOCKHISTORY("USD/BRL",E1550,E1550,0,0,1),Preços!$C$3)</f>
        <v>6.1798000000000002</v>
      </c>
    </row>
    <row r="1551" spans="5:6" x14ac:dyDescent="0.25">
      <c r="E1551" s="147">
        <f t="shared" si="23"/>
        <v>1</v>
      </c>
      <c r="F1551" s="155" cm="1">
        <f t="array" aca="1" ref="F1551" ca="1">IFERROR(_xlfn.STOCKHISTORY("USD/BRL",E1551,E1551,0,0,1),Preços!$C$3)</f>
        <v>6.1798000000000002</v>
      </c>
    </row>
    <row r="1552" spans="5:6" x14ac:dyDescent="0.25">
      <c r="E1552" s="147">
        <f t="shared" si="23"/>
        <v>1</v>
      </c>
      <c r="F1552" s="155" cm="1">
        <f t="array" aca="1" ref="F1552" ca="1">IFERROR(_xlfn.STOCKHISTORY("USD/BRL",E1552,E1552,0,0,1),Preços!$C$3)</f>
        <v>6.1798000000000002</v>
      </c>
    </row>
    <row r="1553" spans="5:6" x14ac:dyDescent="0.25">
      <c r="E1553" s="147">
        <f t="shared" si="23"/>
        <v>1</v>
      </c>
      <c r="F1553" s="155" cm="1">
        <f t="array" aca="1" ref="F1553" ca="1">IFERROR(_xlfn.STOCKHISTORY("USD/BRL",E1553,E1553,0,0,1),Preços!$C$3)</f>
        <v>6.1798000000000002</v>
      </c>
    </row>
    <row r="1554" spans="5:6" x14ac:dyDescent="0.25">
      <c r="E1554" s="147">
        <f t="shared" si="23"/>
        <v>1</v>
      </c>
      <c r="F1554" s="155" cm="1">
        <f t="array" aca="1" ref="F1554" ca="1">IFERROR(_xlfn.STOCKHISTORY("USD/BRL",E1554,E1554,0,0,1),Preços!$C$3)</f>
        <v>6.1798000000000002</v>
      </c>
    </row>
    <row r="1555" spans="5:6" x14ac:dyDescent="0.25">
      <c r="E1555" s="147">
        <f t="shared" si="23"/>
        <v>1</v>
      </c>
      <c r="F1555" s="155" cm="1">
        <f t="array" aca="1" ref="F1555" ca="1">IFERROR(_xlfn.STOCKHISTORY("USD/BRL",E1555,E1555,0,0,1),Preços!$C$3)</f>
        <v>6.1798000000000002</v>
      </c>
    </row>
    <row r="1556" spans="5:6" x14ac:dyDescent="0.25">
      <c r="E1556" s="147">
        <f t="shared" si="23"/>
        <v>1</v>
      </c>
      <c r="F1556" s="155" cm="1">
        <f t="array" aca="1" ref="F1556" ca="1">IFERROR(_xlfn.STOCKHISTORY("USD/BRL",E1556,E1556,0,0,1),Preços!$C$3)</f>
        <v>6.1798000000000002</v>
      </c>
    </row>
    <row r="1557" spans="5:6" x14ac:dyDescent="0.25">
      <c r="E1557" s="147">
        <f t="shared" si="23"/>
        <v>1</v>
      </c>
      <c r="F1557" s="155" cm="1">
        <f t="array" aca="1" ref="F1557" ca="1">IFERROR(_xlfn.STOCKHISTORY("USD/BRL",E1557,E1557,0,0,1),Preços!$C$3)</f>
        <v>6.1798000000000002</v>
      </c>
    </row>
    <row r="1558" spans="5:6" x14ac:dyDescent="0.25">
      <c r="E1558" s="147">
        <f t="shared" si="23"/>
        <v>1</v>
      </c>
      <c r="F1558" s="155" cm="1">
        <f t="array" aca="1" ref="F1558" ca="1">IFERROR(_xlfn.STOCKHISTORY("USD/BRL",E1558,E1558,0,0,1),Preços!$C$3)</f>
        <v>6.1798000000000002</v>
      </c>
    </row>
    <row r="1559" spans="5:6" x14ac:dyDescent="0.25">
      <c r="E1559" s="147">
        <f t="shared" si="23"/>
        <v>1</v>
      </c>
      <c r="F1559" s="155" cm="1">
        <f t="array" aca="1" ref="F1559" ca="1">IFERROR(_xlfn.STOCKHISTORY("USD/BRL",E1559,E1559,0,0,1),Preços!$C$3)</f>
        <v>6.1798000000000002</v>
      </c>
    </row>
    <row r="1560" spans="5:6" x14ac:dyDescent="0.25">
      <c r="E1560" s="147">
        <f t="shared" si="23"/>
        <v>1</v>
      </c>
      <c r="F1560" s="155" cm="1">
        <f t="array" aca="1" ref="F1560" ca="1">IFERROR(_xlfn.STOCKHISTORY("USD/BRL",E1560,E1560,0,0,1),Preços!$C$3)</f>
        <v>6.1798000000000002</v>
      </c>
    </row>
    <row r="1561" spans="5:6" x14ac:dyDescent="0.25">
      <c r="E1561" s="147">
        <f t="shared" si="23"/>
        <v>1</v>
      </c>
      <c r="F1561" s="155" cm="1">
        <f t="array" aca="1" ref="F1561" ca="1">IFERROR(_xlfn.STOCKHISTORY("USD/BRL",E1561,E1561,0,0,1),Preços!$C$3)</f>
        <v>6.1798000000000002</v>
      </c>
    </row>
    <row r="1562" spans="5:6" x14ac:dyDescent="0.25">
      <c r="E1562" s="147">
        <f t="shared" si="23"/>
        <v>1</v>
      </c>
      <c r="F1562" s="155" cm="1">
        <f t="array" aca="1" ref="F1562" ca="1">IFERROR(_xlfn.STOCKHISTORY("USD/BRL",E1562,E1562,0,0,1),Preços!$C$3)</f>
        <v>6.1798000000000002</v>
      </c>
    </row>
    <row r="1563" spans="5:6" x14ac:dyDescent="0.25">
      <c r="E1563" s="147">
        <f t="shared" si="23"/>
        <v>1</v>
      </c>
      <c r="F1563" s="155" cm="1">
        <f t="array" aca="1" ref="F1563" ca="1">IFERROR(_xlfn.STOCKHISTORY("USD/BRL",E1563,E1563,0,0,1),Preços!$C$3)</f>
        <v>6.1798000000000002</v>
      </c>
    </row>
    <row r="1564" spans="5:6" x14ac:dyDescent="0.25">
      <c r="E1564" s="147">
        <f t="shared" si="23"/>
        <v>1</v>
      </c>
      <c r="F1564" s="155" cm="1">
        <f t="array" aca="1" ref="F1564" ca="1">IFERROR(_xlfn.STOCKHISTORY("USD/BRL",E1564,E1564,0,0,1),Preços!$C$3)</f>
        <v>6.1798000000000002</v>
      </c>
    </row>
    <row r="1565" spans="5:6" x14ac:dyDescent="0.25">
      <c r="E1565" s="147">
        <f t="shared" si="23"/>
        <v>1</v>
      </c>
      <c r="F1565" s="155" cm="1">
        <f t="array" aca="1" ref="F1565" ca="1">IFERROR(_xlfn.STOCKHISTORY("USD/BRL",E1565,E1565,0,0,1),Preços!$C$3)</f>
        <v>6.1798000000000002</v>
      </c>
    </row>
    <row r="1566" spans="5:6" x14ac:dyDescent="0.25">
      <c r="E1566" s="147">
        <f t="shared" si="23"/>
        <v>1</v>
      </c>
      <c r="F1566" s="155" cm="1">
        <f t="array" aca="1" ref="F1566" ca="1">IFERROR(_xlfn.STOCKHISTORY("USD/BRL",E1566,E1566,0,0,1),Preços!$C$3)</f>
        <v>6.1798000000000002</v>
      </c>
    </row>
    <row r="1567" spans="5:6" x14ac:dyDescent="0.25">
      <c r="E1567" s="147">
        <f t="shared" si="23"/>
        <v>1</v>
      </c>
      <c r="F1567" s="155" cm="1">
        <f t="array" aca="1" ref="F1567" ca="1">IFERROR(_xlfn.STOCKHISTORY("USD/BRL",E1567,E1567,0,0,1),Preços!$C$3)</f>
        <v>6.1798000000000002</v>
      </c>
    </row>
    <row r="1568" spans="5:6" x14ac:dyDescent="0.25">
      <c r="E1568" s="147">
        <f t="shared" si="23"/>
        <v>1</v>
      </c>
      <c r="F1568" s="155" cm="1">
        <f t="array" aca="1" ref="F1568" ca="1">IFERROR(_xlfn.STOCKHISTORY("USD/BRL",E1568,E1568,0,0,1),Preços!$C$3)</f>
        <v>6.1798000000000002</v>
      </c>
    </row>
    <row r="1569" spans="5:6" x14ac:dyDescent="0.25">
      <c r="E1569" s="147">
        <f t="shared" si="23"/>
        <v>1</v>
      </c>
      <c r="F1569" s="155" cm="1">
        <f t="array" aca="1" ref="F1569" ca="1">IFERROR(_xlfn.STOCKHISTORY("USD/BRL",E1569,E1569,0,0,1),Preços!$C$3)</f>
        <v>6.1798000000000002</v>
      </c>
    </row>
    <row r="1570" spans="5:6" x14ac:dyDescent="0.25">
      <c r="E1570" s="147">
        <f t="shared" si="23"/>
        <v>1</v>
      </c>
      <c r="F1570" s="155" cm="1">
        <f t="array" aca="1" ref="F1570" ca="1">IFERROR(_xlfn.STOCKHISTORY("USD/BRL",E1570,E1570,0,0,1),Preços!$C$3)</f>
        <v>6.1798000000000002</v>
      </c>
    </row>
    <row r="1571" spans="5:6" x14ac:dyDescent="0.25">
      <c r="E1571" s="147">
        <f t="shared" si="23"/>
        <v>1</v>
      </c>
      <c r="F1571" s="155" cm="1">
        <f t="array" aca="1" ref="F1571" ca="1">IFERROR(_xlfn.STOCKHISTORY("USD/BRL",E1571,E1571,0,0,1),Preços!$C$3)</f>
        <v>6.1798000000000002</v>
      </c>
    </row>
    <row r="1572" spans="5:6" x14ac:dyDescent="0.25">
      <c r="E1572" s="147">
        <f t="shared" si="23"/>
        <v>1</v>
      </c>
      <c r="F1572" s="155" cm="1">
        <f t="array" aca="1" ref="F1572" ca="1">IFERROR(_xlfn.STOCKHISTORY("USD/BRL",E1572,E1572,0,0,1),Preços!$C$3)</f>
        <v>6.1798000000000002</v>
      </c>
    </row>
    <row r="1573" spans="5:6" x14ac:dyDescent="0.25">
      <c r="E1573" s="147">
        <f t="shared" si="23"/>
        <v>1</v>
      </c>
      <c r="F1573" s="155" cm="1">
        <f t="array" aca="1" ref="F1573" ca="1">IFERROR(_xlfn.STOCKHISTORY("USD/BRL",E1573,E1573,0,0,1),Preços!$C$3)</f>
        <v>6.1798000000000002</v>
      </c>
    </row>
    <row r="1574" spans="5:6" x14ac:dyDescent="0.25">
      <c r="E1574" s="147">
        <f t="shared" si="23"/>
        <v>1</v>
      </c>
      <c r="F1574" s="155" cm="1">
        <f t="array" aca="1" ref="F1574" ca="1">IFERROR(_xlfn.STOCKHISTORY("USD/BRL",E1574,E1574,0,0,1),Preços!$C$3)</f>
        <v>6.1798000000000002</v>
      </c>
    </row>
    <row r="1575" spans="5:6" x14ac:dyDescent="0.25">
      <c r="E1575" s="147">
        <f t="shared" si="23"/>
        <v>1</v>
      </c>
      <c r="F1575" s="155" cm="1">
        <f t="array" aca="1" ref="F1575" ca="1">IFERROR(_xlfn.STOCKHISTORY("USD/BRL",E1575,E1575,0,0,1),Preços!$C$3)</f>
        <v>6.1798000000000002</v>
      </c>
    </row>
    <row r="1576" spans="5:6" x14ac:dyDescent="0.25">
      <c r="E1576" s="147">
        <f t="shared" si="23"/>
        <v>1</v>
      </c>
      <c r="F1576" s="155" cm="1">
        <f t="array" aca="1" ref="F1576" ca="1">IFERROR(_xlfn.STOCKHISTORY("USD/BRL",E1576,E1576,0,0,1),Preços!$C$3)</f>
        <v>6.1798000000000002</v>
      </c>
    </row>
    <row r="1577" spans="5:6" x14ac:dyDescent="0.25">
      <c r="E1577" s="147">
        <f t="shared" si="23"/>
        <v>1</v>
      </c>
      <c r="F1577" s="155" cm="1">
        <f t="array" aca="1" ref="F1577" ca="1">IFERROR(_xlfn.STOCKHISTORY("USD/BRL",E1577,E1577,0,0,1),Preços!$C$3)</f>
        <v>6.1798000000000002</v>
      </c>
    </row>
    <row r="1578" spans="5:6" x14ac:dyDescent="0.25">
      <c r="E1578" s="147">
        <f t="shared" si="23"/>
        <v>1</v>
      </c>
      <c r="F1578" s="155" cm="1">
        <f t="array" aca="1" ref="F1578" ca="1">IFERROR(_xlfn.STOCKHISTORY("USD/BRL",E1578,E1578,0,0,1),Preços!$C$3)</f>
        <v>6.1798000000000002</v>
      </c>
    </row>
    <row r="1579" spans="5:6" x14ac:dyDescent="0.25">
      <c r="E1579" s="147">
        <f t="shared" si="23"/>
        <v>1</v>
      </c>
      <c r="F1579" s="155" cm="1">
        <f t="array" aca="1" ref="F1579" ca="1">IFERROR(_xlfn.STOCKHISTORY("USD/BRL",E1579,E1579,0,0,1),Preços!$C$3)</f>
        <v>6.1798000000000002</v>
      </c>
    </row>
    <row r="1580" spans="5:6" x14ac:dyDescent="0.25">
      <c r="E1580" s="147">
        <f t="shared" si="23"/>
        <v>1</v>
      </c>
      <c r="F1580" s="155" cm="1">
        <f t="array" aca="1" ref="F1580" ca="1">IFERROR(_xlfn.STOCKHISTORY("USD/BRL",E1580,E1580,0,0,1),Preços!$C$3)</f>
        <v>6.1798000000000002</v>
      </c>
    </row>
    <row r="1581" spans="5:6" x14ac:dyDescent="0.25">
      <c r="E1581" s="147">
        <f t="shared" si="23"/>
        <v>1</v>
      </c>
      <c r="F1581" s="155" cm="1">
        <f t="array" aca="1" ref="F1581" ca="1">IFERROR(_xlfn.STOCKHISTORY("USD/BRL",E1581,E1581,0,0,1),Preços!$C$3)</f>
        <v>6.1798000000000002</v>
      </c>
    </row>
    <row r="1582" spans="5:6" x14ac:dyDescent="0.25">
      <c r="E1582" s="147">
        <f t="shared" si="23"/>
        <v>1</v>
      </c>
      <c r="F1582" s="155" cm="1">
        <f t="array" aca="1" ref="F1582" ca="1">IFERROR(_xlfn.STOCKHISTORY("USD/BRL",E1582,E1582,0,0,1),Preços!$C$3)</f>
        <v>6.1798000000000002</v>
      </c>
    </row>
    <row r="1583" spans="5:6" x14ac:dyDescent="0.25">
      <c r="E1583" s="147">
        <f t="shared" si="23"/>
        <v>1</v>
      </c>
      <c r="F1583" s="155" cm="1">
        <f t="array" aca="1" ref="F1583" ca="1">IFERROR(_xlfn.STOCKHISTORY("USD/BRL",E1583,E1583,0,0,1),Preços!$C$3)</f>
        <v>6.1798000000000002</v>
      </c>
    </row>
    <row r="1584" spans="5:6" x14ac:dyDescent="0.25">
      <c r="E1584" s="147">
        <f t="shared" si="23"/>
        <v>1</v>
      </c>
      <c r="F1584" s="155" cm="1">
        <f t="array" aca="1" ref="F1584" ca="1">IFERROR(_xlfn.STOCKHISTORY("USD/BRL",E1584,E1584,0,0,1),Preços!$C$3)</f>
        <v>6.1798000000000002</v>
      </c>
    </row>
    <row r="1585" spans="5:6" x14ac:dyDescent="0.25">
      <c r="E1585" s="147">
        <f t="shared" si="23"/>
        <v>1</v>
      </c>
      <c r="F1585" s="155" cm="1">
        <f t="array" aca="1" ref="F1585" ca="1">IFERROR(_xlfn.STOCKHISTORY("USD/BRL",E1585,E1585,0,0,1),Preços!$C$3)</f>
        <v>6.1798000000000002</v>
      </c>
    </row>
    <row r="1586" spans="5:6" x14ac:dyDescent="0.25">
      <c r="E1586" s="147">
        <f t="shared" si="23"/>
        <v>1</v>
      </c>
      <c r="F1586" s="155" cm="1">
        <f t="array" aca="1" ref="F1586" ca="1">IFERROR(_xlfn.STOCKHISTORY("USD/BRL",E1586,E1586,0,0,1),Preços!$C$3)</f>
        <v>6.1798000000000002</v>
      </c>
    </row>
    <row r="1587" spans="5:6" x14ac:dyDescent="0.25">
      <c r="E1587" s="147">
        <f t="shared" si="23"/>
        <v>1</v>
      </c>
      <c r="F1587" s="155" cm="1">
        <f t="array" aca="1" ref="F1587" ca="1">IFERROR(_xlfn.STOCKHISTORY("USD/BRL",E1587,E1587,0,0,1),Preços!$C$3)</f>
        <v>6.1798000000000002</v>
      </c>
    </row>
    <row r="1588" spans="5:6" x14ac:dyDescent="0.25">
      <c r="E1588" s="147">
        <f t="shared" si="23"/>
        <v>1</v>
      </c>
      <c r="F1588" s="155" cm="1">
        <f t="array" aca="1" ref="F1588" ca="1">IFERROR(_xlfn.STOCKHISTORY("USD/BRL",E1588,E1588,0,0,1),Preços!$C$3)</f>
        <v>6.1798000000000002</v>
      </c>
    </row>
    <row r="1589" spans="5:6" x14ac:dyDescent="0.25">
      <c r="E1589" s="147">
        <f t="shared" si="23"/>
        <v>1</v>
      </c>
      <c r="F1589" s="155" cm="1">
        <f t="array" aca="1" ref="F1589" ca="1">IFERROR(_xlfn.STOCKHISTORY("USD/BRL",E1589,E1589,0,0,1),Preços!$C$3)</f>
        <v>6.1798000000000002</v>
      </c>
    </row>
    <row r="1590" spans="5:6" x14ac:dyDescent="0.25">
      <c r="E1590" s="147">
        <f t="shared" si="23"/>
        <v>1</v>
      </c>
      <c r="F1590" s="155" cm="1">
        <f t="array" aca="1" ref="F1590" ca="1">IFERROR(_xlfn.STOCKHISTORY("USD/BRL",E1590,E1590,0,0,1),Preços!$C$3)</f>
        <v>6.1798000000000002</v>
      </c>
    </row>
    <row r="1591" spans="5:6" x14ac:dyDescent="0.25">
      <c r="E1591" s="147">
        <f t="shared" si="23"/>
        <v>1</v>
      </c>
      <c r="F1591" s="155" cm="1">
        <f t="array" aca="1" ref="F1591" ca="1">IFERROR(_xlfn.STOCKHISTORY("USD/BRL",E1591,E1591,0,0,1),Preços!$C$3)</f>
        <v>6.1798000000000002</v>
      </c>
    </row>
    <row r="1592" spans="5:6" x14ac:dyDescent="0.25">
      <c r="E1592" s="147">
        <f t="shared" si="23"/>
        <v>1</v>
      </c>
      <c r="F1592" s="155" cm="1">
        <f t="array" aca="1" ref="F1592" ca="1">IFERROR(_xlfn.STOCKHISTORY("USD/BRL",E1592,E1592,0,0,1),Preços!$C$3)</f>
        <v>6.1798000000000002</v>
      </c>
    </row>
    <row r="1593" spans="5:6" x14ac:dyDescent="0.25">
      <c r="E1593" s="147">
        <f t="shared" si="23"/>
        <v>1</v>
      </c>
      <c r="F1593" s="155" cm="1">
        <f t="array" aca="1" ref="F1593" ca="1">IFERROR(_xlfn.STOCKHISTORY("USD/BRL",E1593,E1593,0,0,1),Preços!$C$3)</f>
        <v>6.1798000000000002</v>
      </c>
    </row>
    <row r="1594" spans="5:6" x14ac:dyDescent="0.25">
      <c r="E1594" s="147">
        <f t="shared" si="23"/>
        <v>1</v>
      </c>
      <c r="F1594" s="155" cm="1">
        <f t="array" aca="1" ref="F1594" ca="1">IFERROR(_xlfn.STOCKHISTORY("USD/BRL",E1594,E1594,0,0,1),Preços!$C$3)</f>
        <v>6.1798000000000002</v>
      </c>
    </row>
    <row r="1595" spans="5:6" x14ac:dyDescent="0.25">
      <c r="E1595" s="147">
        <f t="shared" si="23"/>
        <v>1</v>
      </c>
      <c r="F1595" s="155" cm="1">
        <f t="array" aca="1" ref="F1595" ca="1">IFERROR(_xlfn.STOCKHISTORY("USD/BRL",E1595,E1595,0,0,1),Preços!$C$3)</f>
        <v>6.1798000000000002</v>
      </c>
    </row>
    <row r="1596" spans="5:6" x14ac:dyDescent="0.25">
      <c r="E1596" s="147">
        <f t="shared" si="23"/>
        <v>1</v>
      </c>
      <c r="F1596" s="155" cm="1">
        <f t="array" aca="1" ref="F1596" ca="1">IFERROR(_xlfn.STOCKHISTORY("USD/BRL",E1596,E1596,0,0,1),Preços!$C$3)</f>
        <v>6.1798000000000002</v>
      </c>
    </row>
    <row r="1597" spans="5:6" x14ac:dyDescent="0.25">
      <c r="E1597" s="147">
        <f t="shared" si="23"/>
        <v>1</v>
      </c>
      <c r="F1597" s="155" cm="1">
        <f t="array" aca="1" ref="F1597" ca="1">IFERROR(_xlfn.STOCKHISTORY("USD/BRL",E1597,E1597,0,0,1),Preços!$C$3)</f>
        <v>6.1798000000000002</v>
      </c>
    </row>
    <row r="1598" spans="5:6" x14ac:dyDescent="0.25">
      <c r="E1598" s="147">
        <f t="shared" si="23"/>
        <v>1</v>
      </c>
      <c r="F1598" s="155" cm="1">
        <f t="array" aca="1" ref="F1598" ca="1">IFERROR(_xlfn.STOCKHISTORY("USD/BRL",E1598,E1598,0,0,1),Preços!$C$3)</f>
        <v>6.1798000000000002</v>
      </c>
    </row>
    <row r="1599" spans="5:6" x14ac:dyDescent="0.25">
      <c r="E1599" s="147">
        <f t="shared" si="23"/>
        <v>1</v>
      </c>
      <c r="F1599" s="155" cm="1">
        <f t="array" aca="1" ref="F1599" ca="1">IFERROR(_xlfn.STOCKHISTORY("USD/BRL",E1599,E1599,0,0,1),Preços!$C$3)</f>
        <v>6.1798000000000002</v>
      </c>
    </row>
    <row r="1600" spans="5:6" x14ac:dyDescent="0.25">
      <c r="E1600" s="147">
        <f t="shared" si="23"/>
        <v>1</v>
      </c>
      <c r="F1600" s="155" cm="1">
        <f t="array" aca="1" ref="F1600" ca="1">IFERROR(_xlfn.STOCKHISTORY("USD/BRL",E1600,E1600,0,0,1),Preços!$C$3)</f>
        <v>6.1798000000000002</v>
      </c>
    </row>
    <row r="1601" spans="5:6" x14ac:dyDescent="0.25">
      <c r="E1601" s="147">
        <f t="shared" si="23"/>
        <v>1</v>
      </c>
      <c r="F1601" s="155" cm="1">
        <f t="array" aca="1" ref="F1601" ca="1">IFERROR(_xlfn.STOCKHISTORY("USD/BRL",E1601,E1601,0,0,1),Preços!$C$3)</f>
        <v>6.1798000000000002</v>
      </c>
    </row>
    <row r="1602" spans="5:6" x14ac:dyDescent="0.25">
      <c r="E1602" s="147">
        <f t="shared" si="23"/>
        <v>1</v>
      </c>
      <c r="F1602" s="155" cm="1">
        <f t="array" aca="1" ref="F1602" ca="1">IFERROR(_xlfn.STOCKHISTORY("USD/BRL",E1602,E1602,0,0,1),Preços!$C$3)</f>
        <v>6.1798000000000002</v>
      </c>
    </row>
    <row r="1603" spans="5:6" x14ac:dyDescent="0.25">
      <c r="E1603" s="147">
        <f t="shared" si="23"/>
        <v>1</v>
      </c>
      <c r="F1603" s="155" cm="1">
        <f t="array" aca="1" ref="F1603" ca="1">IFERROR(_xlfn.STOCKHISTORY("USD/BRL",E1603,E1603,0,0,1),Preços!$C$3)</f>
        <v>6.1798000000000002</v>
      </c>
    </row>
    <row r="1604" spans="5:6" x14ac:dyDescent="0.25">
      <c r="E1604" s="147">
        <f t="shared" ref="E1604:E1667" si="24">DATE(YEAR(D1510),MONTH(D1510),1)</f>
        <v>1</v>
      </c>
      <c r="F1604" s="155" cm="1">
        <f t="array" aca="1" ref="F1604" ca="1">IFERROR(_xlfn.STOCKHISTORY("USD/BRL",E1604,E1604,0,0,1),Preços!$C$3)</f>
        <v>6.1798000000000002</v>
      </c>
    </row>
    <row r="1605" spans="5:6" x14ac:dyDescent="0.25">
      <c r="E1605" s="147">
        <f t="shared" si="24"/>
        <v>1</v>
      </c>
      <c r="F1605" s="155" cm="1">
        <f t="array" aca="1" ref="F1605" ca="1">IFERROR(_xlfn.STOCKHISTORY("USD/BRL",E1605,E1605,0,0,1),Preços!$C$3)</f>
        <v>6.1798000000000002</v>
      </c>
    </row>
    <row r="1606" spans="5:6" x14ac:dyDescent="0.25">
      <c r="E1606" s="147">
        <f t="shared" si="24"/>
        <v>1</v>
      </c>
      <c r="F1606" s="155" cm="1">
        <f t="array" aca="1" ref="F1606" ca="1">IFERROR(_xlfn.STOCKHISTORY("USD/BRL",E1606,E1606,0,0,1),Preços!$C$3)</f>
        <v>6.1798000000000002</v>
      </c>
    </row>
    <row r="1607" spans="5:6" x14ac:dyDescent="0.25">
      <c r="E1607" s="147">
        <f t="shared" si="24"/>
        <v>1</v>
      </c>
      <c r="F1607" s="155" cm="1">
        <f t="array" aca="1" ref="F1607" ca="1">IFERROR(_xlfn.STOCKHISTORY("USD/BRL",E1607,E1607,0,0,1),Preços!$C$3)</f>
        <v>6.1798000000000002</v>
      </c>
    </row>
    <row r="1608" spans="5:6" x14ac:dyDescent="0.25">
      <c r="E1608" s="147">
        <f t="shared" si="24"/>
        <v>1</v>
      </c>
      <c r="F1608" s="155" cm="1">
        <f t="array" aca="1" ref="F1608" ca="1">IFERROR(_xlfn.STOCKHISTORY("USD/BRL",E1608,E1608,0,0,1),Preços!$C$3)</f>
        <v>6.1798000000000002</v>
      </c>
    </row>
    <row r="1609" spans="5:6" x14ac:dyDescent="0.25">
      <c r="E1609" s="147">
        <f t="shared" si="24"/>
        <v>1</v>
      </c>
      <c r="F1609" s="155" cm="1">
        <f t="array" aca="1" ref="F1609" ca="1">IFERROR(_xlfn.STOCKHISTORY("USD/BRL",E1609,E1609,0,0,1),Preços!$C$3)</f>
        <v>6.1798000000000002</v>
      </c>
    </row>
    <row r="1610" spans="5:6" x14ac:dyDescent="0.25">
      <c r="E1610" s="147">
        <f t="shared" si="24"/>
        <v>1</v>
      </c>
      <c r="F1610" s="155" cm="1">
        <f t="array" aca="1" ref="F1610" ca="1">IFERROR(_xlfn.STOCKHISTORY("USD/BRL",E1610,E1610,0,0,1),Preços!$C$3)</f>
        <v>6.1798000000000002</v>
      </c>
    </row>
    <row r="1611" spans="5:6" x14ac:dyDescent="0.25">
      <c r="E1611" s="147">
        <f t="shared" si="24"/>
        <v>1</v>
      </c>
      <c r="F1611" s="155" cm="1">
        <f t="array" aca="1" ref="F1611" ca="1">IFERROR(_xlfn.STOCKHISTORY("USD/BRL",E1611,E1611,0,0,1),Preços!$C$3)</f>
        <v>6.1798000000000002</v>
      </c>
    </row>
    <row r="1612" spans="5:6" x14ac:dyDescent="0.25">
      <c r="E1612" s="147">
        <f t="shared" si="24"/>
        <v>1</v>
      </c>
      <c r="F1612" s="155" cm="1">
        <f t="array" aca="1" ref="F1612" ca="1">IFERROR(_xlfn.STOCKHISTORY("USD/BRL",E1612,E1612,0,0,1),Preços!$C$3)</f>
        <v>6.1798000000000002</v>
      </c>
    </row>
    <row r="1613" spans="5:6" x14ac:dyDescent="0.25">
      <c r="E1613" s="147">
        <f t="shared" si="24"/>
        <v>1</v>
      </c>
      <c r="F1613" s="155" cm="1">
        <f t="array" aca="1" ref="F1613" ca="1">IFERROR(_xlfn.STOCKHISTORY("USD/BRL",E1613,E1613,0,0,1),Preços!$C$3)</f>
        <v>6.1798000000000002</v>
      </c>
    </row>
    <row r="1614" spans="5:6" x14ac:dyDescent="0.25">
      <c r="E1614" s="147">
        <f t="shared" si="24"/>
        <v>1</v>
      </c>
      <c r="F1614" s="155" cm="1">
        <f t="array" aca="1" ref="F1614" ca="1">IFERROR(_xlfn.STOCKHISTORY("USD/BRL",E1614,E1614,0,0,1),Preços!$C$3)</f>
        <v>6.1798000000000002</v>
      </c>
    </row>
    <row r="1615" spans="5:6" x14ac:dyDescent="0.25">
      <c r="E1615" s="147">
        <f t="shared" si="24"/>
        <v>1</v>
      </c>
      <c r="F1615" s="155" cm="1">
        <f t="array" aca="1" ref="F1615" ca="1">IFERROR(_xlfn.STOCKHISTORY("USD/BRL",E1615,E1615,0,0,1),Preços!$C$3)</f>
        <v>6.1798000000000002</v>
      </c>
    </row>
    <row r="1616" spans="5:6" x14ac:dyDescent="0.25">
      <c r="E1616" s="147">
        <f t="shared" si="24"/>
        <v>1</v>
      </c>
      <c r="F1616" s="155" cm="1">
        <f t="array" aca="1" ref="F1616" ca="1">IFERROR(_xlfn.STOCKHISTORY("USD/BRL",E1616,E1616,0,0,1),Preços!$C$3)</f>
        <v>6.1798000000000002</v>
      </c>
    </row>
    <row r="1617" spans="5:6" x14ac:dyDescent="0.25">
      <c r="E1617" s="147">
        <f t="shared" si="24"/>
        <v>1</v>
      </c>
      <c r="F1617" s="155" cm="1">
        <f t="array" aca="1" ref="F1617" ca="1">IFERROR(_xlfn.STOCKHISTORY("USD/BRL",E1617,E1617,0,0,1),Preços!$C$3)</f>
        <v>6.1798000000000002</v>
      </c>
    </row>
    <row r="1618" spans="5:6" x14ac:dyDescent="0.25">
      <c r="E1618" s="147">
        <f t="shared" si="24"/>
        <v>1</v>
      </c>
      <c r="F1618" s="155" cm="1">
        <f t="array" aca="1" ref="F1618" ca="1">IFERROR(_xlfn.STOCKHISTORY("USD/BRL",E1618,E1618,0,0,1),Preços!$C$3)</f>
        <v>6.1798000000000002</v>
      </c>
    </row>
    <row r="1619" spans="5:6" x14ac:dyDescent="0.25">
      <c r="E1619" s="147">
        <f t="shared" si="24"/>
        <v>1</v>
      </c>
      <c r="F1619" s="155" cm="1">
        <f t="array" aca="1" ref="F1619" ca="1">IFERROR(_xlfn.STOCKHISTORY("USD/BRL",E1619,E1619,0,0,1),Preços!$C$3)</f>
        <v>6.1798000000000002</v>
      </c>
    </row>
    <row r="1620" spans="5:6" x14ac:dyDescent="0.25">
      <c r="E1620" s="147">
        <f t="shared" si="24"/>
        <v>1</v>
      </c>
      <c r="F1620" s="155" cm="1">
        <f t="array" aca="1" ref="F1620" ca="1">IFERROR(_xlfn.STOCKHISTORY("USD/BRL",E1620,E1620,0,0,1),Preços!$C$3)</f>
        <v>6.1798000000000002</v>
      </c>
    </row>
    <row r="1621" spans="5:6" x14ac:dyDescent="0.25">
      <c r="E1621" s="147">
        <f t="shared" si="24"/>
        <v>1</v>
      </c>
      <c r="F1621" s="155" cm="1">
        <f t="array" aca="1" ref="F1621" ca="1">IFERROR(_xlfn.STOCKHISTORY("USD/BRL",E1621,E1621,0,0,1),Preços!$C$3)</f>
        <v>6.1798000000000002</v>
      </c>
    </row>
    <row r="1622" spans="5:6" x14ac:dyDescent="0.25">
      <c r="E1622" s="147">
        <f t="shared" si="24"/>
        <v>1</v>
      </c>
      <c r="F1622" s="155" cm="1">
        <f t="array" aca="1" ref="F1622" ca="1">IFERROR(_xlfn.STOCKHISTORY("USD/BRL",E1622,E1622,0,0,1),Preços!$C$3)</f>
        <v>6.1798000000000002</v>
      </c>
    </row>
    <row r="1623" spans="5:6" x14ac:dyDescent="0.25">
      <c r="E1623" s="147">
        <f t="shared" si="24"/>
        <v>1</v>
      </c>
      <c r="F1623" s="155" cm="1">
        <f t="array" aca="1" ref="F1623" ca="1">IFERROR(_xlfn.STOCKHISTORY("USD/BRL",E1623,E1623,0,0,1),Preços!$C$3)</f>
        <v>6.1798000000000002</v>
      </c>
    </row>
    <row r="1624" spans="5:6" x14ac:dyDescent="0.25">
      <c r="E1624" s="147">
        <f t="shared" si="24"/>
        <v>1</v>
      </c>
      <c r="F1624" s="155" cm="1">
        <f t="array" aca="1" ref="F1624" ca="1">IFERROR(_xlfn.STOCKHISTORY("USD/BRL",E1624,E1624,0,0,1),Preços!$C$3)</f>
        <v>6.1798000000000002</v>
      </c>
    </row>
    <row r="1625" spans="5:6" x14ac:dyDescent="0.25">
      <c r="E1625" s="147">
        <f t="shared" si="24"/>
        <v>1</v>
      </c>
      <c r="F1625" s="155" cm="1">
        <f t="array" aca="1" ref="F1625" ca="1">IFERROR(_xlfn.STOCKHISTORY("USD/BRL",E1625,E1625,0,0,1),Preços!$C$3)</f>
        <v>6.1798000000000002</v>
      </c>
    </row>
    <row r="1626" spans="5:6" x14ac:dyDescent="0.25">
      <c r="E1626" s="147">
        <f t="shared" si="24"/>
        <v>1</v>
      </c>
      <c r="F1626" s="155" cm="1">
        <f t="array" aca="1" ref="F1626" ca="1">IFERROR(_xlfn.STOCKHISTORY("USD/BRL",E1626,E1626,0,0,1),Preços!$C$3)</f>
        <v>6.1798000000000002</v>
      </c>
    </row>
    <row r="1627" spans="5:6" x14ac:dyDescent="0.25">
      <c r="E1627" s="147">
        <f t="shared" si="24"/>
        <v>1</v>
      </c>
      <c r="F1627" s="155" cm="1">
        <f t="array" aca="1" ref="F1627" ca="1">IFERROR(_xlfn.STOCKHISTORY("USD/BRL",E1627,E1627,0,0,1),Preços!$C$3)</f>
        <v>6.1798000000000002</v>
      </c>
    </row>
    <row r="1628" spans="5:6" x14ac:dyDescent="0.25">
      <c r="E1628" s="147">
        <f t="shared" si="24"/>
        <v>1</v>
      </c>
      <c r="F1628" s="155" cm="1">
        <f t="array" aca="1" ref="F1628" ca="1">IFERROR(_xlfn.STOCKHISTORY("USD/BRL",E1628,E1628,0,0,1),Preços!$C$3)</f>
        <v>6.1798000000000002</v>
      </c>
    </row>
    <row r="1629" spans="5:6" x14ac:dyDescent="0.25">
      <c r="E1629" s="147">
        <f t="shared" si="24"/>
        <v>1</v>
      </c>
      <c r="F1629" s="155" cm="1">
        <f t="array" aca="1" ref="F1629" ca="1">IFERROR(_xlfn.STOCKHISTORY("USD/BRL",E1629,E1629,0,0,1),Preços!$C$3)</f>
        <v>6.1798000000000002</v>
      </c>
    </row>
    <row r="1630" spans="5:6" x14ac:dyDescent="0.25">
      <c r="E1630" s="147">
        <f t="shared" si="24"/>
        <v>1</v>
      </c>
      <c r="F1630" s="155" cm="1">
        <f t="array" aca="1" ref="F1630" ca="1">IFERROR(_xlfn.STOCKHISTORY("USD/BRL",E1630,E1630,0,0,1),Preços!$C$3)</f>
        <v>6.1798000000000002</v>
      </c>
    </row>
    <row r="1631" spans="5:6" x14ac:dyDescent="0.25">
      <c r="E1631" s="147">
        <f t="shared" si="24"/>
        <v>1</v>
      </c>
      <c r="F1631" s="155" cm="1">
        <f t="array" aca="1" ref="F1631" ca="1">IFERROR(_xlfn.STOCKHISTORY("USD/BRL",E1631,E1631,0,0,1),Preços!$C$3)</f>
        <v>6.1798000000000002</v>
      </c>
    </row>
    <row r="1632" spans="5:6" x14ac:dyDescent="0.25">
      <c r="E1632" s="147">
        <f t="shared" si="24"/>
        <v>1</v>
      </c>
      <c r="F1632" s="155" cm="1">
        <f t="array" aca="1" ref="F1632" ca="1">IFERROR(_xlfn.STOCKHISTORY("USD/BRL",E1632,E1632,0,0,1),Preços!$C$3)</f>
        <v>6.1798000000000002</v>
      </c>
    </row>
    <row r="1633" spans="5:6" x14ac:dyDescent="0.25">
      <c r="E1633" s="147">
        <f t="shared" si="24"/>
        <v>1</v>
      </c>
      <c r="F1633" s="155" cm="1">
        <f t="array" aca="1" ref="F1633" ca="1">IFERROR(_xlfn.STOCKHISTORY("USD/BRL",E1633,E1633,0,0,1),Preços!$C$3)</f>
        <v>6.1798000000000002</v>
      </c>
    </row>
    <row r="1634" spans="5:6" x14ac:dyDescent="0.25">
      <c r="E1634" s="147">
        <f t="shared" si="24"/>
        <v>1</v>
      </c>
      <c r="F1634" s="155" cm="1">
        <f t="array" aca="1" ref="F1634" ca="1">IFERROR(_xlfn.STOCKHISTORY("USD/BRL",E1634,E1634,0,0,1),Preços!$C$3)</f>
        <v>6.1798000000000002</v>
      </c>
    </row>
    <row r="1635" spans="5:6" x14ac:dyDescent="0.25">
      <c r="E1635" s="147">
        <f t="shared" si="24"/>
        <v>1</v>
      </c>
      <c r="F1635" s="155" cm="1">
        <f t="array" aca="1" ref="F1635" ca="1">IFERROR(_xlfn.STOCKHISTORY("USD/BRL",E1635,E1635,0,0,1),Preços!$C$3)</f>
        <v>6.1798000000000002</v>
      </c>
    </row>
    <row r="1636" spans="5:6" x14ac:dyDescent="0.25">
      <c r="E1636" s="147">
        <f t="shared" si="24"/>
        <v>1</v>
      </c>
      <c r="F1636" s="155" cm="1">
        <f t="array" aca="1" ref="F1636" ca="1">IFERROR(_xlfn.STOCKHISTORY("USD/BRL",E1636,E1636,0,0,1),Preços!$C$3)</f>
        <v>6.1798000000000002</v>
      </c>
    </row>
    <row r="1637" spans="5:6" x14ac:dyDescent="0.25">
      <c r="E1637" s="147">
        <f t="shared" si="24"/>
        <v>1</v>
      </c>
      <c r="F1637" s="155" cm="1">
        <f t="array" aca="1" ref="F1637" ca="1">IFERROR(_xlfn.STOCKHISTORY("USD/BRL",E1637,E1637,0,0,1),Preços!$C$3)</f>
        <v>6.1798000000000002</v>
      </c>
    </row>
    <row r="1638" spans="5:6" x14ac:dyDescent="0.25">
      <c r="E1638" s="147">
        <f t="shared" si="24"/>
        <v>1</v>
      </c>
      <c r="F1638" s="155" cm="1">
        <f t="array" aca="1" ref="F1638" ca="1">IFERROR(_xlfn.STOCKHISTORY("USD/BRL",E1638,E1638,0,0,1),Preços!$C$3)</f>
        <v>6.1798000000000002</v>
      </c>
    </row>
    <row r="1639" spans="5:6" x14ac:dyDescent="0.25">
      <c r="E1639" s="147">
        <f t="shared" si="24"/>
        <v>1</v>
      </c>
      <c r="F1639" s="155" cm="1">
        <f t="array" aca="1" ref="F1639" ca="1">IFERROR(_xlfn.STOCKHISTORY("USD/BRL",E1639,E1639,0,0,1),Preços!$C$3)</f>
        <v>6.1798000000000002</v>
      </c>
    </row>
    <row r="1640" spans="5:6" x14ac:dyDescent="0.25">
      <c r="E1640" s="147">
        <f t="shared" si="24"/>
        <v>1</v>
      </c>
      <c r="F1640" s="155" cm="1">
        <f t="array" aca="1" ref="F1640" ca="1">IFERROR(_xlfn.STOCKHISTORY("USD/BRL",E1640,E1640,0,0,1),Preços!$C$3)</f>
        <v>6.1798000000000002</v>
      </c>
    </row>
    <row r="1641" spans="5:6" x14ac:dyDescent="0.25">
      <c r="E1641" s="147">
        <f t="shared" si="24"/>
        <v>1</v>
      </c>
      <c r="F1641" s="155" cm="1">
        <f t="array" aca="1" ref="F1641" ca="1">IFERROR(_xlfn.STOCKHISTORY("USD/BRL",E1641,E1641,0,0,1),Preços!$C$3)</f>
        <v>6.1798000000000002</v>
      </c>
    </row>
    <row r="1642" spans="5:6" x14ac:dyDescent="0.25">
      <c r="E1642" s="147">
        <f t="shared" si="24"/>
        <v>1</v>
      </c>
      <c r="F1642" s="155" cm="1">
        <f t="array" aca="1" ref="F1642" ca="1">IFERROR(_xlfn.STOCKHISTORY("USD/BRL",E1642,E1642,0,0,1),Preços!$C$3)</f>
        <v>6.1798000000000002</v>
      </c>
    </row>
    <row r="1643" spans="5:6" x14ac:dyDescent="0.25">
      <c r="E1643" s="147">
        <f t="shared" si="24"/>
        <v>1</v>
      </c>
      <c r="F1643" s="155" cm="1">
        <f t="array" aca="1" ref="F1643" ca="1">IFERROR(_xlfn.STOCKHISTORY("USD/BRL",E1643,E1643,0,0,1),Preços!$C$3)</f>
        <v>6.1798000000000002</v>
      </c>
    </row>
    <row r="1644" spans="5:6" x14ac:dyDescent="0.25">
      <c r="E1644" s="147">
        <f t="shared" si="24"/>
        <v>1</v>
      </c>
      <c r="F1644" s="155" cm="1">
        <f t="array" aca="1" ref="F1644" ca="1">IFERROR(_xlfn.STOCKHISTORY("USD/BRL",E1644,E1644,0,0,1),Preços!$C$3)</f>
        <v>6.1798000000000002</v>
      </c>
    </row>
    <row r="1645" spans="5:6" x14ac:dyDescent="0.25">
      <c r="E1645" s="147">
        <f t="shared" si="24"/>
        <v>1</v>
      </c>
      <c r="F1645" s="155" cm="1">
        <f t="array" aca="1" ref="F1645" ca="1">IFERROR(_xlfn.STOCKHISTORY("USD/BRL",E1645,E1645,0,0,1),Preços!$C$3)</f>
        <v>6.1798000000000002</v>
      </c>
    </row>
    <row r="1646" spans="5:6" x14ac:dyDescent="0.25">
      <c r="E1646" s="147">
        <f t="shared" si="24"/>
        <v>1</v>
      </c>
      <c r="F1646" s="155" cm="1">
        <f t="array" aca="1" ref="F1646" ca="1">IFERROR(_xlfn.STOCKHISTORY("USD/BRL",E1646,E1646,0,0,1),Preços!$C$3)</f>
        <v>6.1798000000000002</v>
      </c>
    </row>
    <row r="1647" spans="5:6" x14ac:dyDescent="0.25">
      <c r="E1647" s="147">
        <f t="shared" si="24"/>
        <v>1</v>
      </c>
      <c r="F1647" s="155" cm="1">
        <f t="array" aca="1" ref="F1647" ca="1">IFERROR(_xlfn.STOCKHISTORY("USD/BRL",E1647,E1647,0,0,1),Preços!$C$3)</f>
        <v>6.1798000000000002</v>
      </c>
    </row>
    <row r="1648" spans="5:6" x14ac:dyDescent="0.25">
      <c r="E1648" s="147">
        <f t="shared" si="24"/>
        <v>1</v>
      </c>
      <c r="F1648" s="155" cm="1">
        <f t="array" aca="1" ref="F1648" ca="1">IFERROR(_xlfn.STOCKHISTORY("USD/BRL",E1648,E1648,0,0,1),Preços!$C$3)</f>
        <v>6.1798000000000002</v>
      </c>
    </row>
    <row r="1649" spans="5:6" x14ac:dyDescent="0.25">
      <c r="E1649" s="147">
        <f t="shared" si="24"/>
        <v>1</v>
      </c>
      <c r="F1649" s="155" cm="1">
        <f t="array" aca="1" ref="F1649" ca="1">IFERROR(_xlfn.STOCKHISTORY("USD/BRL",E1649,E1649,0,0,1),Preços!$C$3)</f>
        <v>6.1798000000000002</v>
      </c>
    </row>
    <row r="1650" spans="5:6" x14ac:dyDescent="0.25">
      <c r="E1650" s="147">
        <f t="shared" si="24"/>
        <v>1</v>
      </c>
      <c r="F1650" s="155" cm="1">
        <f t="array" aca="1" ref="F1650" ca="1">IFERROR(_xlfn.STOCKHISTORY("USD/BRL",E1650,E1650,0,0,1),Preços!$C$3)</f>
        <v>6.1798000000000002</v>
      </c>
    </row>
    <row r="1651" spans="5:6" x14ac:dyDescent="0.25">
      <c r="E1651" s="147">
        <f t="shared" si="24"/>
        <v>1</v>
      </c>
      <c r="F1651" s="155" cm="1">
        <f t="array" aca="1" ref="F1651" ca="1">IFERROR(_xlfn.STOCKHISTORY("USD/BRL",E1651,E1651,0,0,1),Preços!$C$3)</f>
        <v>6.1798000000000002</v>
      </c>
    </row>
    <row r="1652" spans="5:6" x14ac:dyDescent="0.25">
      <c r="E1652" s="147">
        <f t="shared" si="24"/>
        <v>1</v>
      </c>
      <c r="F1652" s="155" cm="1">
        <f t="array" aca="1" ref="F1652" ca="1">IFERROR(_xlfn.STOCKHISTORY("USD/BRL",E1652,E1652,0,0,1),Preços!$C$3)</f>
        <v>6.1798000000000002</v>
      </c>
    </row>
    <row r="1653" spans="5:6" x14ac:dyDescent="0.25">
      <c r="E1653" s="147">
        <f t="shared" si="24"/>
        <v>1</v>
      </c>
      <c r="F1653" s="155" cm="1">
        <f t="array" aca="1" ref="F1653" ca="1">IFERROR(_xlfn.STOCKHISTORY("USD/BRL",E1653,E1653,0,0,1),Preços!$C$3)</f>
        <v>6.1798000000000002</v>
      </c>
    </row>
    <row r="1654" spans="5:6" x14ac:dyDescent="0.25">
      <c r="E1654" s="147">
        <f t="shared" si="24"/>
        <v>1</v>
      </c>
      <c r="F1654" s="155" cm="1">
        <f t="array" aca="1" ref="F1654" ca="1">IFERROR(_xlfn.STOCKHISTORY("USD/BRL",E1654,E1654,0,0,1),Preços!$C$3)</f>
        <v>6.1798000000000002</v>
      </c>
    </row>
    <row r="1655" spans="5:6" x14ac:dyDescent="0.25">
      <c r="E1655" s="147">
        <f t="shared" si="24"/>
        <v>1</v>
      </c>
      <c r="F1655" s="155" cm="1">
        <f t="array" aca="1" ref="F1655" ca="1">IFERROR(_xlfn.STOCKHISTORY("USD/BRL",E1655,E1655,0,0,1),Preços!$C$3)</f>
        <v>6.1798000000000002</v>
      </c>
    </row>
    <row r="1656" spans="5:6" x14ac:dyDescent="0.25">
      <c r="E1656" s="147">
        <f t="shared" si="24"/>
        <v>1</v>
      </c>
      <c r="F1656" s="155" cm="1">
        <f t="array" aca="1" ref="F1656" ca="1">IFERROR(_xlfn.STOCKHISTORY("USD/BRL",E1656,E1656,0,0,1),Preços!$C$3)</f>
        <v>6.1798000000000002</v>
      </c>
    </row>
    <row r="1657" spans="5:6" x14ac:dyDescent="0.25">
      <c r="E1657" s="147">
        <f t="shared" si="24"/>
        <v>1</v>
      </c>
      <c r="F1657" s="155" cm="1">
        <f t="array" aca="1" ref="F1657" ca="1">IFERROR(_xlfn.STOCKHISTORY("USD/BRL",E1657,E1657,0,0,1),Preços!$C$3)</f>
        <v>6.1798000000000002</v>
      </c>
    </row>
    <row r="1658" spans="5:6" x14ac:dyDescent="0.25">
      <c r="E1658" s="147">
        <f t="shared" si="24"/>
        <v>1</v>
      </c>
      <c r="F1658" s="155" cm="1">
        <f t="array" aca="1" ref="F1658" ca="1">IFERROR(_xlfn.STOCKHISTORY("USD/BRL",E1658,E1658,0,0,1),Preços!$C$3)</f>
        <v>6.1798000000000002</v>
      </c>
    </row>
    <row r="1659" spans="5:6" x14ac:dyDescent="0.25">
      <c r="E1659" s="147">
        <f t="shared" si="24"/>
        <v>1</v>
      </c>
      <c r="F1659" s="155" cm="1">
        <f t="array" aca="1" ref="F1659" ca="1">IFERROR(_xlfn.STOCKHISTORY("USD/BRL",E1659,E1659,0,0,1),Preços!$C$3)</f>
        <v>6.1798000000000002</v>
      </c>
    </row>
    <row r="1660" spans="5:6" x14ac:dyDescent="0.25">
      <c r="E1660" s="147">
        <f t="shared" si="24"/>
        <v>1</v>
      </c>
      <c r="F1660" s="155" cm="1">
        <f t="array" aca="1" ref="F1660" ca="1">IFERROR(_xlfn.STOCKHISTORY("USD/BRL",E1660,E1660,0,0,1),Preços!$C$3)</f>
        <v>6.1798000000000002</v>
      </c>
    </row>
    <row r="1661" spans="5:6" x14ac:dyDescent="0.25">
      <c r="E1661" s="147">
        <f t="shared" si="24"/>
        <v>1</v>
      </c>
      <c r="F1661" s="155" cm="1">
        <f t="array" aca="1" ref="F1661" ca="1">IFERROR(_xlfn.STOCKHISTORY("USD/BRL",E1661,E1661,0,0,1),Preços!$C$3)</f>
        <v>6.1798000000000002</v>
      </c>
    </row>
    <row r="1662" spans="5:6" x14ac:dyDescent="0.25">
      <c r="E1662" s="147">
        <f t="shared" si="24"/>
        <v>1</v>
      </c>
      <c r="F1662" s="155" cm="1">
        <f t="array" aca="1" ref="F1662" ca="1">IFERROR(_xlfn.STOCKHISTORY("USD/BRL",E1662,E1662,0,0,1),Preços!$C$3)</f>
        <v>6.1798000000000002</v>
      </c>
    </row>
    <row r="1663" spans="5:6" x14ac:dyDescent="0.25">
      <c r="E1663" s="147">
        <f t="shared" si="24"/>
        <v>1</v>
      </c>
      <c r="F1663" s="155" cm="1">
        <f t="array" aca="1" ref="F1663" ca="1">IFERROR(_xlfn.STOCKHISTORY("USD/BRL",E1663,E1663,0,0,1),Preços!$C$3)</f>
        <v>6.1798000000000002</v>
      </c>
    </row>
    <row r="1664" spans="5:6" x14ac:dyDescent="0.25">
      <c r="E1664" s="147">
        <f t="shared" si="24"/>
        <v>1</v>
      </c>
      <c r="F1664" s="155" cm="1">
        <f t="array" aca="1" ref="F1664" ca="1">IFERROR(_xlfn.STOCKHISTORY("USD/BRL",E1664,E1664,0,0,1),Preços!$C$3)</f>
        <v>6.1798000000000002</v>
      </c>
    </row>
    <row r="1665" spans="5:6" x14ac:dyDescent="0.25">
      <c r="E1665" s="147">
        <f t="shared" si="24"/>
        <v>1</v>
      </c>
      <c r="F1665" s="155" cm="1">
        <f t="array" aca="1" ref="F1665" ca="1">IFERROR(_xlfn.STOCKHISTORY("USD/BRL",E1665,E1665,0,0,1),Preços!$C$3)</f>
        <v>6.1798000000000002</v>
      </c>
    </row>
    <row r="1666" spans="5:6" x14ac:dyDescent="0.25">
      <c r="E1666" s="147">
        <f t="shared" si="24"/>
        <v>1</v>
      </c>
      <c r="F1666" s="155" cm="1">
        <f t="array" aca="1" ref="F1666" ca="1">IFERROR(_xlfn.STOCKHISTORY("USD/BRL",E1666,E1666,0,0,1),Preços!$C$3)</f>
        <v>6.1798000000000002</v>
      </c>
    </row>
    <row r="1667" spans="5:6" x14ac:dyDescent="0.25">
      <c r="E1667" s="147">
        <f t="shared" si="24"/>
        <v>1</v>
      </c>
      <c r="F1667" s="155" cm="1">
        <f t="array" aca="1" ref="F1667" ca="1">IFERROR(_xlfn.STOCKHISTORY("USD/BRL",E1667,E1667,0,0,1),Preços!$C$3)</f>
        <v>6.1798000000000002</v>
      </c>
    </row>
    <row r="1668" spans="5:6" x14ac:dyDescent="0.25">
      <c r="E1668" s="147">
        <f t="shared" ref="E1668:E1731" si="25">DATE(YEAR(D1574),MONTH(D1574),1)</f>
        <v>1</v>
      </c>
      <c r="F1668" s="155" cm="1">
        <f t="array" aca="1" ref="F1668" ca="1">IFERROR(_xlfn.STOCKHISTORY("USD/BRL",E1668,E1668,0,0,1),Preços!$C$3)</f>
        <v>6.1798000000000002</v>
      </c>
    </row>
    <row r="1669" spans="5:6" x14ac:dyDescent="0.25">
      <c r="E1669" s="147">
        <f t="shared" si="25"/>
        <v>1</v>
      </c>
      <c r="F1669" s="155" cm="1">
        <f t="array" aca="1" ref="F1669" ca="1">IFERROR(_xlfn.STOCKHISTORY("USD/BRL",E1669,E1669,0,0,1),Preços!$C$3)</f>
        <v>6.1798000000000002</v>
      </c>
    </row>
    <row r="1670" spans="5:6" x14ac:dyDescent="0.25">
      <c r="E1670" s="147">
        <f t="shared" si="25"/>
        <v>1</v>
      </c>
      <c r="F1670" s="155" cm="1">
        <f t="array" aca="1" ref="F1670" ca="1">IFERROR(_xlfn.STOCKHISTORY("USD/BRL",E1670,E1670,0,0,1),Preços!$C$3)</f>
        <v>6.1798000000000002</v>
      </c>
    </row>
    <row r="1671" spans="5:6" x14ac:dyDescent="0.25">
      <c r="E1671" s="147">
        <f t="shared" si="25"/>
        <v>1</v>
      </c>
      <c r="F1671" s="155" cm="1">
        <f t="array" aca="1" ref="F1671" ca="1">IFERROR(_xlfn.STOCKHISTORY("USD/BRL",E1671,E1671,0,0,1),Preços!$C$3)</f>
        <v>6.1798000000000002</v>
      </c>
    </row>
    <row r="1672" spans="5:6" x14ac:dyDescent="0.25">
      <c r="E1672" s="147">
        <f t="shared" si="25"/>
        <v>1</v>
      </c>
      <c r="F1672" s="155" cm="1">
        <f t="array" aca="1" ref="F1672" ca="1">IFERROR(_xlfn.STOCKHISTORY("USD/BRL",E1672,E1672,0,0,1),Preços!$C$3)</f>
        <v>6.1798000000000002</v>
      </c>
    </row>
    <row r="1673" spans="5:6" x14ac:dyDescent="0.25">
      <c r="E1673" s="147">
        <f t="shared" si="25"/>
        <v>1</v>
      </c>
      <c r="F1673" s="155" cm="1">
        <f t="array" aca="1" ref="F1673" ca="1">IFERROR(_xlfn.STOCKHISTORY("USD/BRL",E1673,E1673,0,0,1),Preços!$C$3)</f>
        <v>6.1798000000000002</v>
      </c>
    </row>
    <row r="1674" spans="5:6" x14ac:dyDescent="0.25">
      <c r="E1674" s="147">
        <f t="shared" si="25"/>
        <v>1</v>
      </c>
      <c r="F1674" s="155" cm="1">
        <f t="array" aca="1" ref="F1674" ca="1">IFERROR(_xlfn.STOCKHISTORY("USD/BRL",E1674,E1674,0,0,1),Preços!$C$3)</f>
        <v>6.1798000000000002</v>
      </c>
    </row>
    <row r="1675" spans="5:6" x14ac:dyDescent="0.25">
      <c r="E1675" s="147">
        <f t="shared" si="25"/>
        <v>1</v>
      </c>
      <c r="F1675" s="155" cm="1">
        <f t="array" aca="1" ref="F1675" ca="1">IFERROR(_xlfn.STOCKHISTORY("USD/BRL",E1675,E1675,0,0,1),Preços!$C$3)</f>
        <v>6.1798000000000002</v>
      </c>
    </row>
    <row r="1676" spans="5:6" x14ac:dyDescent="0.25">
      <c r="E1676" s="147">
        <f t="shared" si="25"/>
        <v>1</v>
      </c>
      <c r="F1676" s="155" cm="1">
        <f t="array" aca="1" ref="F1676" ca="1">IFERROR(_xlfn.STOCKHISTORY("USD/BRL",E1676,E1676,0,0,1),Preços!$C$3)</f>
        <v>6.1798000000000002</v>
      </c>
    </row>
    <row r="1677" spans="5:6" x14ac:dyDescent="0.25">
      <c r="E1677" s="147">
        <f t="shared" si="25"/>
        <v>1</v>
      </c>
      <c r="F1677" s="155" cm="1">
        <f t="array" aca="1" ref="F1677" ca="1">IFERROR(_xlfn.STOCKHISTORY("USD/BRL",E1677,E1677,0,0,1),Preços!$C$3)</f>
        <v>6.1798000000000002</v>
      </c>
    </row>
    <row r="1678" spans="5:6" x14ac:dyDescent="0.25">
      <c r="E1678" s="147">
        <f t="shared" si="25"/>
        <v>1</v>
      </c>
      <c r="F1678" s="155" cm="1">
        <f t="array" aca="1" ref="F1678" ca="1">IFERROR(_xlfn.STOCKHISTORY("USD/BRL",E1678,E1678,0,0,1),Preços!$C$3)</f>
        <v>6.1798000000000002</v>
      </c>
    </row>
    <row r="1679" spans="5:6" x14ac:dyDescent="0.25">
      <c r="E1679" s="147">
        <f t="shared" si="25"/>
        <v>1</v>
      </c>
      <c r="F1679" s="155" cm="1">
        <f t="array" aca="1" ref="F1679" ca="1">IFERROR(_xlfn.STOCKHISTORY("USD/BRL",E1679,E1679,0,0,1),Preços!$C$3)</f>
        <v>6.1798000000000002</v>
      </c>
    </row>
    <row r="1680" spans="5:6" x14ac:dyDescent="0.25">
      <c r="E1680" s="147">
        <f t="shared" si="25"/>
        <v>1</v>
      </c>
      <c r="F1680" s="155" cm="1">
        <f t="array" aca="1" ref="F1680" ca="1">IFERROR(_xlfn.STOCKHISTORY("USD/BRL",E1680,E1680,0,0,1),Preços!$C$3)</f>
        <v>6.1798000000000002</v>
      </c>
    </row>
    <row r="1681" spans="5:6" x14ac:dyDescent="0.25">
      <c r="E1681" s="147">
        <f t="shared" si="25"/>
        <v>1</v>
      </c>
      <c r="F1681" s="155" cm="1">
        <f t="array" aca="1" ref="F1681" ca="1">IFERROR(_xlfn.STOCKHISTORY("USD/BRL",E1681,E1681,0,0,1),Preços!$C$3)</f>
        <v>6.1798000000000002</v>
      </c>
    </row>
    <row r="1682" spans="5:6" x14ac:dyDescent="0.25">
      <c r="E1682" s="147">
        <f t="shared" si="25"/>
        <v>1</v>
      </c>
      <c r="F1682" s="155" cm="1">
        <f t="array" aca="1" ref="F1682" ca="1">IFERROR(_xlfn.STOCKHISTORY("USD/BRL",E1682,E1682,0,0,1),Preços!$C$3)</f>
        <v>6.1798000000000002</v>
      </c>
    </row>
    <row r="1683" spans="5:6" x14ac:dyDescent="0.25">
      <c r="E1683" s="147">
        <f t="shared" si="25"/>
        <v>1</v>
      </c>
      <c r="F1683" s="155" cm="1">
        <f t="array" aca="1" ref="F1683" ca="1">IFERROR(_xlfn.STOCKHISTORY("USD/BRL",E1683,E1683,0,0,1),Preços!$C$3)</f>
        <v>6.1798000000000002</v>
      </c>
    </row>
    <row r="1684" spans="5:6" x14ac:dyDescent="0.25">
      <c r="E1684" s="147">
        <f t="shared" si="25"/>
        <v>1</v>
      </c>
      <c r="F1684" s="155" cm="1">
        <f t="array" aca="1" ref="F1684" ca="1">IFERROR(_xlfn.STOCKHISTORY("USD/BRL",E1684,E1684,0,0,1),Preços!$C$3)</f>
        <v>6.1798000000000002</v>
      </c>
    </row>
    <row r="1685" spans="5:6" x14ac:dyDescent="0.25">
      <c r="E1685" s="147">
        <f t="shared" si="25"/>
        <v>1</v>
      </c>
      <c r="F1685" s="155" cm="1">
        <f t="array" aca="1" ref="F1685" ca="1">IFERROR(_xlfn.STOCKHISTORY("USD/BRL",E1685,E1685,0,0,1),Preços!$C$3)</f>
        <v>6.1798000000000002</v>
      </c>
    </row>
    <row r="1686" spans="5:6" x14ac:dyDescent="0.25">
      <c r="E1686" s="147">
        <f t="shared" si="25"/>
        <v>1</v>
      </c>
      <c r="F1686" s="155" cm="1">
        <f t="array" aca="1" ref="F1686" ca="1">IFERROR(_xlfn.STOCKHISTORY("USD/BRL",E1686,E1686,0,0,1),Preços!$C$3)</f>
        <v>6.1798000000000002</v>
      </c>
    </row>
    <row r="1687" spans="5:6" x14ac:dyDescent="0.25">
      <c r="E1687" s="147">
        <f t="shared" si="25"/>
        <v>1</v>
      </c>
      <c r="F1687" s="155" cm="1">
        <f t="array" aca="1" ref="F1687" ca="1">IFERROR(_xlfn.STOCKHISTORY("USD/BRL",E1687,E1687,0,0,1),Preços!$C$3)</f>
        <v>6.1798000000000002</v>
      </c>
    </row>
    <row r="1688" spans="5:6" x14ac:dyDescent="0.25">
      <c r="E1688" s="147">
        <f t="shared" si="25"/>
        <v>1</v>
      </c>
      <c r="F1688" s="155" cm="1">
        <f t="array" aca="1" ref="F1688" ca="1">IFERROR(_xlfn.STOCKHISTORY("USD/BRL",E1688,E1688,0,0,1),Preços!$C$3)</f>
        <v>6.1798000000000002</v>
      </c>
    </row>
    <row r="1689" spans="5:6" x14ac:dyDescent="0.25">
      <c r="E1689" s="147">
        <f t="shared" si="25"/>
        <v>1</v>
      </c>
      <c r="F1689" s="155" cm="1">
        <f t="array" aca="1" ref="F1689" ca="1">IFERROR(_xlfn.STOCKHISTORY("USD/BRL",E1689,E1689,0,0,1),Preços!$C$3)</f>
        <v>6.1798000000000002</v>
      </c>
    </row>
    <row r="1690" spans="5:6" x14ac:dyDescent="0.25">
      <c r="E1690" s="147">
        <f t="shared" si="25"/>
        <v>1</v>
      </c>
      <c r="F1690" s="155" cm="1">
        <f t="array" aca="1" ref="F1690" ca="1">IFERROR(_xlfn.STOCKHISTORY("USD/BRL",E1690,E1690,0,0,1),Preços!$C$3)</f>
        <v>6.1798000000000002</v>
      </c>
    </row>
    <row r="1691" spans="5:6" x14ac:dyDescent="0.25">
      <c r="E1691" s="147">
        <f t="shared" si="25"/>
        <v>1</v>
      </c>
      <c r="F1691" s="155" cm="1">
        <f t="array" aca="1" ref="F1691" ca="1">IFERROR(_xlfn.STOCKHISTORY("USD/BRL",E1691,E1691,0,0,1),Preços!$C$3)</f>
        <v>6.1798000000000002</v>
      </c>
    </row>
    <row r="1692" spans="5:6" x14ac:dyDescent="0.25">
      <c r="E1692" s="147">
        <f t="shared" si="25"/>
        <v>1</v>
      </c>
      <c r="F1692" s="155" cm="1">
        <f t="array" aca="1" ref="F1692" ca="1">IFERROR(_xlfn.STOCKHISTORY("USD/BRL",E1692,E1692,0,0,1),Preços!$C$3)</f>
        <v>6.1798000000000002</v>
      </c>
    </row>
    <row r="1693" spans="5:6" x14ac:dyDescent="0.25">
      <c r="E1693" s="147">
        <f t="shared" si="25"/>
        <v>1</v>
      </c>
      <c r="F1693" s="155" cm="1">
        <f t="array" aca="1" ref="F1693" ca="1">IFERROR(_xlfn.STOCKHISTORY("USD/BRL",E1693,E1693,0,0,1),Preços!$C$3)</f>
        <v>6.1798000000000002</v>
      </c>
    </row>
    <row r="1694" spans="5:6" x14ac:dyDescent="0.25">
      <c r="E1694" s="147">
        <f t="shared" si="25"/>
        <v>1</v>
      </c>
      <c r="F1694" s="155" cm="1">
        <f t="array" aca="1" ref="F1694" ca="1">IFERROR(_xlfn.STOCKHISTORY("USD/BRL",E1694,E1694,0,0,1),Preços!$C$3)</f>
        <v>6.1798000000000002</v>
      </c>
    </row>
    <row r="1695" spans="5:6" x14ac:dyDescent="0.25">
      <c r="E1695" s="147">
        <f t="shared" si="25"/>
        <v>1</v>
      </c>
      <c r="F1695" s="155" cm="1">
        <f t="array" aca="1" ref="F1695" ca="1">IFERROR(_xlfn.STOCKHISTORY("USD/BRL",E1695,E1695,0,0,1),Preços!$C$3)</f>
        <v>6.1798000000000002</v>
      </c>
    </row>
    <row r="1696" spans="5:6" x14ac:dyDescent="0.25">
      <c r="E1696" s="147">
        <f t="shared" si="25"/>
        <v>1</v>
      </c>
      <c r="F1696" s="155" cm="1">
        <f t="array" aca="1" ref="F1696" ca="1">IFERROR(_xlfn.STOCKHISTORY("USD/BRL",E1696,E1696,0,0,1),Preços!$C$3)</f>
        <v>6.1798000000000002</v>
      </c>
    </row>
    <row r="1697" spans="5:6" x14ac:dyDescent="0.25">
      <c r="E1697" s="147">
        <f t="shared" si="25"/>
        <v>1</v>
      </c>
      <c r="F1697" s="155" cm="1">
        <f t="array" aca="1" ref="F1697" ca="1">IFERROR(_xlfn.STOCKHISTORY("USD/BRL",E1697,E1697,0,0,1),Preços!$C$3)</f>
        <v>6.1798000000000002</v>
      </c>
    </row>
    <row r="1698" spans="5:6" x14ac:dyDescent="0.25">
      <c r="E1698" s="147">
        <f t="shared" si="25"/>
        <v>1</v>
      </c>
      <c r="F1698" s="155" cm="1">
        <f t="array" aca="1" ref="F1698" ca="1">IFERROR(_xlfn.STOCKHISTORY("USD/BRL",E1698,E1698,0,0,1),Preços!$C$3)</f>
        <v>6.1798000000000002</v>
      </c>
    </row>
    <row r="1699" spans="5:6" x14ac:dyDescent="0.25">
      <c r="E1699" s="147">
        <f t="shared" si="25"/>
        <v>1</v>
      </c>
      <c r="F1699" s="155" cm="1">
        <f t="array" aca="1" ref="F1699" ca="1">IFERROR(_xlfn.STOCKHISTORY("USD/BRL",E1699,E1699,0,0,1),Preços!$C$3)</f>
        <v>6.1798000000000002</v>
      </c>
    </row>
    <row r="1700" spans="5:6" x14ac:dyDescent="0.25">
      <c r="E1700" s="147">
        <f t="shared" si="25"/>
        <v>1</v>
      </c>
      <c r="F1700" s="155" cm="1">
        <f t="array" aca="1" ref="F1700" ca="1">IFERROR(_xlfn.STOCKHISTORY("USD/BRL",E1700,E1700,0,0,1),Preços!$C$3)</f>
        <v>6.1798000000000002</v>
      </c>
    </row>
    <row r="1701" spans="5:6" x14ac:dyDescent="0.25">
      <c r="E1701" s="147">
        <f t="shared" si="25"/>
        <v>1</v>
      </c>
      <c r="F1701" s="155" cm="1">
        <f t="array" aca="1" ref="F1701" ca="1">IFERROR(_xlfn.STOCKHISTORY("USD/BRL",E1701,E1701,0,0,1),Preços!$C$3)</f>
        <v>6.1798000000000002</v>
      </c>
    </row>
    <row r="1702" spans="5:6" x14ac:dyDescent="0.25">
      <c r="E1702" s="147">
        <f t="shared" si="25"/>
        <v>1</v>
      </c>
      <c r="F1702" s="155" cm="1">
        <f t="array" aca="1" ref="F1702" ca="1">IFERROR(_xlfn.STOCKHISTORY("USD/BRL",E1702,E1702,0,0,1),Preços!$C$3)</f>
        <v>6.1798000000000002</v>
      </c>
    </row>
    <row r="1703" spans="5:6" x14ac:dyDescent="0.25">
      <c r="E1703" s="147">
        <f t="shared" si="25"/>
        <v>1</v>
      </c>
      <c r="F1703" s="155" cm="1">
        <f t="array" aca="1" ref="F1703" ca="1">IFERROR(_xlfn.STOCKHISTORY("USD/BRL",E1703,E1703,0,0,1),Preços!$C$3)</f>
        <v>6.1798000000000002</v>
      </c>
    </row>
    <row r="1704" spans="5:6" x14ac:dyDescent="0.25">
      <c r="E1704" s="147">
        <f t="shared" si="25"/>
        <v>1</v>
      </c>
      <c r="F1704" s="155" cm="1">
        <f t="array" aca="1" ref="F1704" ca="1">IFERROR(_xlfn.STOCKHISTORY("USD/BRL",E1704,E1704,0,0,1),Preços!$C$3)</f>
        <v>6.1798000000000002</v>
      </c>
    </row>
    <row r="1705" spans="5:6" x14ac:dyDescent="0.25">
      <c r="E1705" s="147">
        <f t="shared" si="25"/>
        <v>1</v>
      </c>
      <c r="F1705" s="155" cm="1">
        <f t="array" aca="1" ref="F1705" ca="1">IFERROR(_xlfn.STOCKHISTORY("USD/BRL",E1705,E1705,0,0,1),Preços!$C$3)</f>
        <v>6.1798000000000002</v>
      </c>
    </row>
    <row r="1706" spans="5:6" x14ac:dyDescent="0.25">
      <c r="E1706" s="147">
        <f t="shared" si="25"/>
        <v>1</v>
      </c>
      <c r="F1706" s="155" cm="1">
        <f t="array" aca="1" ref="F1706" ca="1">IFERROR(_xlfn.STOCKHISTORY("USD/BRL",E1706,E1706,0,0,1),Preços!$C$3)</f>
        <v>6.1798000000000002</v>
      </c>
    </row>
    <row r="1707" spans="5:6" x14ac:dyDescent="0.25">
      <c r="E1707" s="147">
        <f t="shared" si="25"/>
        <v>1</v>
      </c>
      <c r="F1707" s="155" cm="1">
        <f t="array" aca="1" ref="F1707" ca="1">IFERROR(_xlfn.STOCKHISTORY("USD/BRL",E1707,E1707,0,0,1),Preços!$C$3)</f>
        <v>6.1798000000000002</v>
      </c>
    </row>
    <row r="1708" spans="5:6" x14ac:dyDescent="0.25">
      <c r="E1708" s="147">
        <f t="shared" si="25"/>
        <v>1</v>
      </c>
      <c r="F1708" s="155" cm="1">
        <f t="array" aca="1" ref="F1708" ca="1">IFERROR(_xlfn.STOCKHISTORY("USD/BRL",E1708,E1708,0,0,1),Preços!$C$3)</f>
        <v>6.1798000000000002</v>
      </c>
    </row>
    <row r="1709" spans="5:6" x14ac:dyDescent="0.25">
      <c r="E1709" s="147">
        <f t="shared" si="25"/>
        <v>1</v>
      </c>
      <c r="F1709" s="155" cm="1">
        <f t="array" aca="1" ref="F1709" ca="1">IFERROR(_xlfn.STOCKHISTORY("USD/BRL",E1709,E1709,0,0,1),Preços!$C$3)</f>
        <v>6.1798000000000002</v>
      </c>
    </row>
    <row r="1710" spans="5:6" x14ac:dyDescent="0.25">
      <c r="E1710" s="147">
        <f t="shared" si="25"/>
        <v>1</v>
      </c>
      <c r="F1710" s="155" cm="1">
        <f t="array" aca="1" ref="F1710" ca="1">IFERROR(_xlfn.STOCKHISTORY("USD/BRL",E1710,E1710,0,0,1),Preços!$C$3)</f>
        <v>6.1798000000000002</v>
      </c>
    </row>
    <row r="1711" spans="5:6" x14ac:dyDescent="0.25">
      <c r="E1711" s="147">
        <f t="shared" si="25"/>
        <v>1</v>
      </c>
      <c r="F1711" s="155" cm="1">
        <f t="array" aca="1" ref="F1711" ca="1">IFERROR(_xlfn.STOCKHISTORY("USD/BRL",E1711,E1711,0,0,1),Preços!$C$3)</f>
        <v>6.1798000000000002</v>
      </c>
    </row>
    <row r="1712" spans="5:6" x14ac:dyDescent="0.25">
      <c r="E1712" s="147">
        <f t="shared" si="25"/>
        <v>1</v>
      </c>
      <c r="F1712" s="155" cm="1">
        <f t="array" aca="1" ref="F1712" ca="1">IFERROR(_xlfn.STOCKHISTORY("USD/BRL",E1712,E1712,0,0,1),Preços!$C$3)</f>
        <v>6.1798000000000002</v>
      </c>
    </row>
    <row r="1713" spans="5:6" x14ac:dyDescent="0.25">
      <c r="E1713" s="147">
        <f t="shared" si="25"/>
        <v>1</v>
      </c>
      <c r="F1713" s="155" cm="1">
        <f t="array" aca="1" ref="F1713" ca="1">IFERROR(_xlfn.STOCKHISTORY("USD/BRL",E1713,E1713,0,0,1),Preços!$C$3)</f>
        <v>6.1798000000000002</v>
      </c>
    </row>
    <row r="1714" spans="5:6" x14ac:dyDescent="0.25">
      <c r="E1714" s="147">
        <f t="shared" si="25"/>
        <v>1</v>
      </c>
      <c r="F1714" s="155" cm="1">
        <f t="array" aca="1" ref="F1714" ca="1">IFERROR(_xlfn.STOCKHISTORY("USD/BRL",E1714,E1714,0,0,1),Preços!$C$3)</f>
        <v>6.1798000000000002</v>
      </c>
    </row>
    <row r="1715" spans="5:6" x14ac:dyDescent="0.25">
      <c r="E1715" s="147">
        <f t="shared" si="25"/>
        <v>1</v>
      </c>
      <c r="F1715" s="155" cm="1">
        <f t="array" aca="1" ref="F1715" ca="1">IFERROR(_xlfn.STOCKHISTORY("USD/BRL",E1715,E1715,0,0,1),Preços!$C$3)</f>
        <v>6.1798000000000002</v>
      </c>
    </row>
    <row r="1716" spans="5:6" x14ac:dyDescent="0.25">
      <c r="E1716" s="147">
        <f t="shared" si="25"/>
        <v>1</v>
      </c>
      <c r="F1716" s="155" cm="1">
        <f t="array" aca="1" ref="F1716" ca="1">IFERROR(_xlfn.STOCKHISTORY("USD/BRL",E1716,E1716,0,0,1),Preços!$C$3)</f>
        <v>6.1798000000000002</v>
      </c>
    </row>
    <row r="1717" spans="5:6" x14ac:dyDescent="0.25">
      <c r="E1717" s="147">
        <f t="shared" si="25"/>
        <v>1</v>
      </c>
      <c r="F1717" s="155" cm="1">
        <f t="array" aca="1" ref="F1717" ca="1">IFERROR(_xlfn.STOCKHISTORY("USD/BRL",E1717,E1717,0,0,1),Preços!$C$3)</f>
        <v>6.1798000000000002</v>
      </c>
    </row>
    <row r="1718" spans="5:6" x14ac:dyDescent="0.25">
      <c r="E1718" s="147">
        <f t="shared" si="25"/>
        <v>1</v>
      </c>
      <c r="F1718" s="155" cm="1">
        <f t="array" aca="1" ref="F1718" ca="1">IFERROR(_xlfn.STOCKHISTORY("USD/BRL",E1718,E1718,0,0,1),Preços!$C$3)</f>
        <v>6.1798000000000002</v>
      </c>
    </row>
    <row r="1719" spans="5:6" x14ac:dyDescent="0.25">
      <c r="E1719" s="147">
        <f t="shared" si="25"/>
        <v>1</v>
      </c>
      <c r="F1719" s="155" cm="1">
        <f t="array" aca="1" ref="F1719" ca="1">IFERROR(_xlfn.STOCKHISTORY("USD/BRL",E1719,E1719,0,0,1),Preços!$C$3)</f>
        <v>6.1798000000000002</v>
      </c>
    </row>
    <row r="1720" spans="5:6" x14ac:dyDescent="0.25">
      <c r="E1720" s="147">
        <f t="shared" si="25"/>
        <v>1</v>
      </c>
      <c r="F1720" s="155" cm="1">
        <f t="array" aca="1" ref="F1720" ca="1">IFERROR(_xlfn.STOCKHISTORY("USD/BRL",E1720,E1720,0,0,1),Preços!$C$3)</f>
        <v>6.1798000000000002</v>
      </c>
    </row>
    <row r="1721" spans="5:6" x14ac:dyDescent="0.25">
      <c r="E1721" s="147">
        <f t="shared" si="25"/>
        <v>1</v>
      </c>
      <c r="F1721" s="155" cm="1">
        <f t="array" aca="1" ref="F1721" ca="1">IFERROR(_xlfn.STOCKHISTORY("USD/BRL",E1721,E1721,0,0,1),Preços!$C$3)</f>
        <v>6.1798000000000002</v>
      </c>
    </row>
    <row r="1722" spans="5:6" x14ac:dyDescent="0.25">
      <c r="E1722" s="147">
        <f t="shared" si="25"/>
        <v>1</v>
      </c>
      <c r="F1722" s="155" cm="1">
        <f t="array" aca="1" ref="F1722" ca="1">IFERROR(_xlfn.STOCKHISTORY("USD/BRL",E1722,E1722,0,0,1),Preços!$C$3)</f>
        <v>6.1798000000000002</v>
      </c>
    </row>
    <row r="1723" spans="5:6" x14ac:dyDescent="0.25">
      <c r="E1723" s="147">
        <f t="shared" si="25"/>
        <v>1</v>
      </c>
      <c r="F1723" s="155" cm="1">
        <f t="array" aca="1" ref="F1723" ca="1">IFERROR(_xlfn.STOCKHISTORY("USD/BRL",E1723,E1723,0,0,1),Preços!$C$3)</f>
        <v>6.1798000000000002</v>
      </c>
    </row>
    <row r="1724" spans="5:6" x14ac:dyDescent="0.25">
      <c r="E1724" s="147">
        <f t="shared" si="25"/>
        <v>1</v>
      </c>
      <c r="F1724" s="155" cm="1">
        <f t="array" aca="1" ref="F1724" ca="1">IFERROR(_xlfn.STOCKHISTORY("USD/BRL",E1724,E1724,0,0,1),Preços!$C$3)</f>
        <v>6.1798000000000002</v>
      </c>
    </row>
    <row r="1725" spans="5:6" x14ac:dyDescent="0.25">
      <c r="E1725" s="147">
        <f t="shared" si="25"/>
        <v>1</v>
      </c>
      <c r="F1725" s="155" cm="1">
        <f t="array" aca="1" ref="F1725" ca="1">IFERROR(_xlfn.STOCKHISTORY("USD/BRL",E1725,E1725,0,0,1),Preços!$C$3)</f>
        <v>6.1798000000000002</v>
      </c>
    </row>
    <row r="1726" spans="5:6" x14ac:dyDescent="0.25">
      <c r="E1726" s="147">
        <f t="shared" si="25"/>
        <v>1</v>
      </c>
      <c r="F1726" s="155" cm="1">
        <f t="array" aca="1" ref="F1726" ca="1">IFERROR(_xlfn.STOCKHISTORY("USD/BRL",E1726,E1726,0,0,1),Preços!$C$3)</f>
        <v>6.1798000000000002</v>
      </c>
    </row>
    <row r="1727" spans="5:6" x14ac:dyDescent="0.25">
      <c r="E1727" s="147">
        <f t="shared" si="25"/>
        <v>1</v>
      </c>
      <c r="F1727" s="155" cm="1">
        <f t="array" aca="1" ref="F1727" ca="1">IFERROR(_xlfn.STOCKHISTORY("USD/BRL",E1727,E1727,0,0,1),Preços!$C$3)</f>
        <v>6.1798000000000002</v>
      </c>
    </row>
    <row r="1728" spans="5:6" x14ac:dyDescent="0.25">
      <c r="E1728" s="147">
        <f t="shared" si="25"/>
        <v>1</v>
      </c>
      <c r="F1728" s="155" cm="1">
        <f t="array" aca="1" ref="F1728" ca="1">IFERROR(_xlfn.STOCKHISTORY("USD/BRL",E1728,E1728,0,0,1),Preços!$C$3)</f>
        <v>6.1798000000000002</v>
      </c>
    </row>
    <row r="1729" spans="5:6" x14ac:dyDescent="0.25">
      <c r="E1729" s="147">
        <f t="shared" si="25"/>
        <v>1</v>
      </c>
      <c r="F1729" s="155" cm="1">
        <f t="array" aca="1" ref="F1729" ca="1">IFERROR(_xlfn.STOCKHISTORY("USD/BRL",E1729,E1729,0,0,1),Preços!$C$3)</f>
        <v>6.1798000000000002</v>
      </c>
    </row>
    <row r="1730" spans="5:6" x14ac:dyDescent="0.25">
      <c r="E1730" s="147">
        <f t="shared" si="25"/>
        <v>1</v>
      </c>
      <c r="F1730" s="155" cm="1">
        <f t="array" aca="1" ref="F1730" ca="1">IFERROR(_xlfn.STOCKHISTORY("USD/BRL",E1730,E1730,0,0,1),Preços!$C$3)</f>
        <v>6.1798000000000002</v>
      </c>
    </row>
    <row r="1731" spans="5:6" x14ac:dyDescent="0.25">
      <c r="E1731" s="147">
        <f t="shared" si="25"/>
        <v>1</v>
      </c>
      <c r="F1731" s="155" cm="1">
        <f t="array" aca="1" ref="F1731" ca="1">IFERROR(_xlfn.STOCKHISTORY("USD/BRL",E1731,E1731,0,0,1),Preços!$C$3)</f>
        <v>6.1798000000000002</v>
      </c>
    </row>
    <row r="1732" spans="5:6" x14ac:dyDescent="0.25">
      <c r="E1732" s="147">
        <f t="shared" ref="E1732:E1795" si="26">DATE(YEAR(D1638),MONTH(D1638),1)</f>
        <v>1</v>
      </c>
      <c r="F1732" s="155" cm="1">
        <f t="array" aca="1" ref="F1732" ca="1">IFERROR(_xlfn.STOCKHISTORY("USD/BRL",E1732,E1732,0,0,1),Preços!$C$3)</f>
        <v>6.1798000000000002</v>
      </c>
    </row>
    <row r="1733" spans="5:6" x14ac:dyDescent="0.25">
      <c r="E1733" s="147">
        <f t="shared" si="26"/>
        <v>1</v>
      </c>
      <c r="F1733" s="155" cm="1">
        <f t="array" aca="1" ref="F1733" ca="1">IFERROR(_xlfn.STOCKHISTORY("USD/BRL",E1733,E1733,0,0,1),Preços!$C$3)</f>
        <v>6.1798000000000002</v>
      </c>
    </row>
    <row r="1734" spans="5:6" x14ac:dyDescent="0.25">
      <c r="E1734" s="147">
        <f t="shared" si="26"/>
        <v>1</v>
      </c>
      <c r="F1734" s="155" cm="1">
        <f t="array" aca="1" ref="F1734" ca="1">IFERROR(_xlfn.STOCKHISTORY("USD/BRL",E1734,E1734,0,0,1),Preços!$C$3)</f>
        <v>6.1798000000000002</v>
      </c>
    </row>
    <row r="1735" spans="5:6" x14ac:dyDescent="0.25">
      <c r="E1735" s="147">
        <f t="shared" si="26"/>
        <v>1</v>
      </c>
      <c r="F1735" s="155" cm="1">
        <f t="array" aca="1" ref="F1735" ca="1">IFERROR(_xlfn.STOCKHISTORY("USD/BRL",E1735,E1735,0,0,1),Preços!$C$3)</f>
        <v>6.1798000000000002</v>
      </c>
    </row>
    <row r="1736" spans="5:6" x14ac:dyDescent="0.25">
      <c r="E1736" s="147">
        <f t="shared" si="26"/>
        <v>1</v>
      </c>
      <c r="F1736" s="155" cm="1">
        <f t="array" aca="1" ref="F1736" ca="1">IFERROR(_xlfn.STOCKHISTORY("USD/BRL",E1736,E1736,0,0,1),Preços!$C$3)</f>
        <v>6.1798000000000002</v>
      </c>
    </row>
    <row r="1737" spans="5:6" x14ac:dyDescent="0.25">
      <c r="E1737" s="147">
        <f t="shared" si="26"/>
        <v>1</v>
      </c>
      <c r="F1737" s="155" cm="1">
        <f t="array" aca="1" ref="F1737" ca="1">IFERROR(_xlfn.STOCKHISTORY("USD/BRL",E1737,E1737,0,0,1),Preços!$C$3)</f>
        <v>6.1798000000000002</v>
      </c>
    </row>
    <row r="1738" spans="5:6" x14ac:dyDescent="0.25">
      <c r="E1738" s="147">
        <f t="shared" si="26"/>
        <v>1</v>
      </c>
      <c r="F1738" s="155" cm="1">
        <f t="array" aca="1" ref="F1738" ca="1">IFERROR(_xlfn.STOCKHISTORY("USD/BRL",E1738,E1738,0,0,1),Preços!$C$3)</f>
        <v>6.1798000000000002</v>
      </c>
    </row>
    <row r="1739" spans="5:6" x14ac:dyDescent="0.25">
      <c r="E1739" s="147">
        <f t="shared" si="26"/>
        <v>1</v>
      </c>
      <c r="F1739" s="155" cm="1">
        <f t="array" aca="1" ref="F1739" ca="1">IFERROR(_xlfn.STOCKHISTORY("USD/BRL",E1739,E1739,0,0,1),Preços!$C$3)</f>
        <v>6.1798000000000002</v>
      </c>
    </row>
    <row r="1740" spans="5:6" x14ac:dyDescent="0.25">
      <c r="E1740" s="147">
        <f t="shared" si="26"/>
        <v>1</v>
      </c>
      <c r="F1740" s="155" cm="1">
        <f t="array" aca="1" ref="F1740" ca="1">IFERROR(_xlfn.STOCKHISTORY("USD/BRL",E1740,E1740,0,0,1),Preços!$C$3)</f>
        <v>6.1798000000000002</v>
      </c>
    </row>
    <row r="1741" spans="5:6" x14ac:dyDescent="0.25">
      <c r="E1741" s="147">
        <f t="shared" si="26"/>
        <v>1</v>
      </c>
      <c r="F1741" s="155" cm="1">
        <f t="array" aca="1" ref="F1741" ca="1">IFERROR(_xlfn.STOCKHISTORY("USD/BRL",E1741,E1741,0,0,1),Preços!$C$3)</f>
        <v>6.1798000000000002</v>
      </c>
    </row>
    <row r="1742" spans="5:6" x14ac:dyDescent="0.25">
      <c r="E1742" s="147">
        <f t="shared" si="26"/>
        <v>1</v>
      </c>
      <c r="F1742" s="155" cm="1">
        <f t="array" aca="1" ref="F1742" ca="1">IFERROR(_xlfn.STOCKHISTORY("USD/BRL",E1742,E1742,0,0,1),Preços!$C$3)</f>
        <v>6.1798000000000002</v>
      </c>
    </row>
    <row r="1743" spans="5:6" x14ac:dyDescent="0.25">
      <c r="E1743" s="147">
        <f t="shared" si="26"/>
        <v>1</v>
      </c>
      <c r="F1743" s="155" cm="1">
        <f t="array" aca="1" ref="F1743" ca="1">IFERROR(_xlfn.STOCKHISTORY("USD/BRL",E1743,E1743,0,0,1),Preços!$C$3)</f>
        <v>6.1798000000000002</v>
      </c>
    </row>
    <row r="1744" spans="5:6" x14ac:dyDescent="0.25">
      <c r="E1744" s="147">
        <f t="shared" si="26"/>
        <v>1</v>
      </c>
      <c r="F1744" s="155" cm="1">
        <f t="array" aca="1" ref="F1744" ca="1">IFERROR(_xlfn.STOCKHISTORY("USD/BRL",E1744,E1744,0,0,1),Preços!$C$3)</f>
        <v>6.1798000000000002</v>
      </c>
    </row>
    <row r="1745" spans="5:6" x14ac:dyDescent="0.25">
      <c r="E1745" s="147">
        <f t="shared" si="26"/>
        <v>1</v>
      </c>
      <c r="F1745" s="155" cm="1">
        <f t="array" aca="1" ref="F1745" ca="1">IFERROR(_xlfn.STOCKHISTORY("USD/BRL",E1745,E1745,0,0,1),Preços!$C$3)</f>
        <v>6.1798000000000002</v>
      </c>
    </row>
    <row r="1746" spans="5:6" x14ac:dyDescent="0.25">
      <c r="E1746" s="147">
        <f t="shared" si="26"/>
        <v>1</v>
      </c>
      <c r="F1746" s="155" cm="1">
        <f t="array" aca="1" ref="F1746" ca="1">IFERROR(_xlfn.STOCKHISTORY("USD/BRL",E1746,E1746,0,0,1),Preços!$C$3)</f>
        <v>6.1798000000000002</v>
      </c>
    </row>
    <row r="1747" spans="5:6" x14ac:dyDescent="0.25">
      <c r="E1747" s="147">
        <f t="shared" si="26"/>
        <v>1</v>
      </c>
      <c r="F1747" s="155" cm="1">
        <f t="array" aca="1" ref="F1747" ca="1">IFERROR(_xlfn.STOCKHISTORY("USD/BRL",E1747,E1747,0,0,1),Preços!$C$3)</f>
        <v>6.1798000000000002</v>
      </c>
    </row>
    <row r="1748" spans="5:6" x14ac:dyDescent="0.25">
      <c r="E1748" s="147">
        <f t="shared" si="26"/>
        <v>1</v>
      </c>
      <c r="F1748" s="155" cm="1">
        <f t="array" aca="1" ref="F1748" ca="1">IFERROR(_xlfn.STOCKHISTORY("USD/BRL",E1748,E1748,0,0,1),Preços!$C$3)</f>
        <v>6.1798000000000002</v>
      </c>
    </row>
    <row r="1749" spans="5:6" x14ac:dyDescent="0.25">
      <c r="E1749" s="147">
        <f t="shared" si="26"/>
        <v>1</v>
      </c>
      <c r="F1749" s="155" cm="1">
        <f t="array" aca="1" ref="F1749" ca="1">IFERROR(_xlfn.STOCKHISTORY("USD/BRL",E1749,E1749,0,0,1),Preços!$C$3)</f>
        <v>6.1798000000000002</v>
      </c>
    </row>
    <row r="1750" spans="5:6" x14ac:dyDescent="0.25">
      <c r="E1750" s="147">
        <f t="shared" si="26"/>
        <v>1</v>
      </c>
      <c r="F1750" s="155" cm="1">
        <f t="array" aca="1" ref="F1750" ca="1">IFERROR(_xlfn.STOCKHISTORY("USD/BRL",E1750,E1750,0,0,1),Preços!$C$3)</f>
        <v>6.1798000000000002</v>
      </c>
    </row>
    <row r="1751" spans="5:6" x14ac:dyDescent="0.25">
      <c r="E1751" s="147">
        <f t="shared" si="26"/>
        <v>1</v>
      </c>
      <c r="F1751" s="155" cm="1">
        <f t="array" aca="1" ref="F1751" ca="1">IFERROR(_xlfn.STOCKHISTORY("USD/BRL",E1751,E1751,0,0,1),Preços!$C$3)</f>
        <v>6.1798000000000002</v>
      </c>
    </row>
    <row r="1752" spans="5:6" x14ac:dyDescent="0.25">
      <c r="E1752" s="147">
        <f t="shared" si="26"/>
        <v>1</v>
      </c>
      <c r="F1752" s="155" cm="1">
        <f t="array" aca="1" ref="F1752" ca="1">IFERROR(_xlfn.STOCKHISTORY("USD/BRL",E1752,E1752,0,0,1),Preços!$C$3)</f>
        <v>6.1798000000000002</v>
      </c>
    </row>
    <row r="1753" spans="5:6" x14ac:dyDescent="0.25">
      <c r="E1753" s="147">
        <f t="shared" si="26"/>
        <v>1</v>
      </c>
      <c r="F1753" s="155" cm="1">
        <f t="array" aca="1" ref="F1753" ca="1">IFERROR(_xlfn.STOCKHISTORY("USD/BRL",E1753,E1753,0,0,1),Preços!$C$3)</f>
        <v>6.1798000000000002</v>
      </c>
    </row>
    <row r="1754" spans="5:6" x14ac:dyDescent="0.25">
      <c r="E1754" s="147">
        <f t="shared" si="26"/>
        <v>1</v>
      </c>
      <c r="F1754" s="155" cm="1">
        <f t="array" aca="1" ref="F1754" ca="1">IFERROR(_xlfn.STOCKHISTORY("USD/BRL",E1754,E1754,0,0,1),Preços!$C$3)</f>
        <v>6.1798000000000002</v>
      </c>
    </row>
    <row r="1755" spans="5:6" x14ac:dyDescent="0.25">
      <c r="E1755" s="147">
        <f t="shared" si="26"/>
        <v>1</v>
      </c>
      <c r="F1755" s="155" cm="1">
        <f t="array" aca="1" ref="F1755" ca="1">IFERROR(_xlfn.STOCKHISTORY("USD/BRL",E1755,E1755,0,0,1),Preços!$C$3)</f>
        <v>6.1798000000000002</v>
      </c>
    </row>
    <row r="1756" spans="5:6" x14ac:dyDescent="0.25">
      <c r="E1756" s="147">
        <f t="shared" si="26"/>
        <v>1</v>
      </c>
      <c r="F1756" s="155" cm="1">
        <f t="array" aca="1" ref="F1756" ca="1">IFERROR(_xlfn.STOCKHISTORY("USD/BRL",E1756,E1756,0,0,1),Preços!$C$3)</f>
        <v>6.1798000000000002</v>
      </c>
    </row>
    <row r="1757" spans="5:6" x14ac:dyDescent="0.25">
      <c r="E1757" s="147">
        <f t="shared" si="26"/>
        <v>1</v>
      </c>
      <c r="F1757" s="155" cm="1">
        <f t="array" aca="1" ref="F1757" ca="1">IFERROR(_xlfn.STOCKHISTORY("USD/BRL",E1757,E1757,0,0,1),Preços!$C$3)</f>
        <v>6.1798000000000002</v>
      </c>
    </row>
    <row r="1758" spans="5:6" x14ac:dyDescent="0.25">
      <c r="E1758" s="147">
        <f t="shared" si="26"/>
        <v>1</v>
      </c>
      <c r="F1758" s="155" cm="1">
        <f t="array" aca="1" ref="F1758" ca="1">IFERROR(_xlfn.STOCKHISTORY("USD/BRL",E1758,E1758,0,0,1),Preços!$C$3)</f>
        <v>6.1798000000000002</v>
      </c>
    </row>
    <row r="1759" spans="5:6" x14ac:dyDescent="0.25">
      <c r="E1759" s="147">
        <f t="shared" si="26"/>
        <v>1</v>
      </c>
      <c r="F1759" s="155" cm="1">
        <f t="array" aca="1" ref="F1759" ca="1">IFERROR(_xlfn.STOCKHISTORY("USD/BRL",E1759,E1759,0,0,1),Preços!$C$3)</f>
        <v>6.1798000000000002</v>
      </c>
    </row>
    <row r="1760" spans="5:6" x14ac:dyDescent="0.25">
      <c r="E1760" s="147">
        <f t="shared" si="26"/>
        <v>1</v>
      </c>
      <c r="F1760" s="155" cm="1">
        <f t="array" aca="1" ref="F1760" ca="1">IFERROR(_xlfn.STOCKHISTORY("USD/BRL",E1760,E1760,0,0,1),Preços!$C$3)</f>
        <v>6.1798000000000002</v>
      </c>
    </row>
    <row r="1761" spans="5:6" x14ac:dyDescent="0.25">
      <c r="E1761" s="147">
        <f t="shared" si="26"/>
        <v>1</v>
      </c>
      <c r="F1761" s="155" cm="1">
        <f t="array" aca="1" ref="F1761" ca="1">IFERROR(_xlfn.STOCKHISTORY("USD/BRL",E1761,E1761,0,0,1),Preços!$C$3)</f>
        <v>6.1798000000000002</v>
      </c>
    </row>
    <row r="1762" spans="5:6" x14ac:dyDescent="0.25">
      <c r="E1762" s="147">
        <f t="shared" si="26"/>
        <v>1</v>
      </c>
      <c r="F1762" s="155" cm="1">
        <f t="array" aca="1" ref="F1762" ca="1">IFERROR(_xlfn.STOCKHISTORY("USD/BRL",E1762,E1762,0,0,1),Preços!$C$3)</f>
        <v>6.1798000000000002</v>
      </c>
    </row>
    <row r="1763" spans="5:6" x14ac:dyDescent="0.25">
      <c r="E1763" s="147">
        <f t="shared" si="26"/>
        <v>1</v>
      </c>
      <c r="F1763" s="155" cm="1">
        <f t="array" aca="1" ref="F1763" ca="1">IFERROR(_xlfn.STOCKHISTORY("USD/BRL",E1763,E1763,0,0,1),Preços!$C$3)</f>
        <v>6.1798000000000002</v>
      </c>
    </row>
    <row r="1764" spans="5:6" x14ac:dyDescent="0.25">
      <c r="E1764" s="147">
        <f t="shared" si="26"/>
        <v>1</v>
      </c>
      <c r="F1764" s="155" cm="1">
        <f t="array" aca="1" ref="F1764" ca="1">IFERROR(_xlfn.STOCKHISTORY("USD/BRL",E1764,E1764,0,0,1),Preços!$C$3)</f>
        <v>6.1798000000000002</v>
      </c>
    </row>
    <row r="1765" spans="5:6" x14ac:dyDescent="0.25">
      <c r="E1765" s="147">
        <f t="shared" si="26"/>
        <v>1</v>
      </c>
      <c r="F1765" s="155" cm="1">
        <f t="array" aca="1" ref="F1765" ca="1">IFERROR(_xlfn.STOCKHISTORY("USD/BRL",E1765,E1765,0,0,1),Preços!$C$3)</f>
        <v>6.1798000000000002</v>
      </c>
    </row>
    <row r="1766" spans="5:6" x14ac:dyDescent="0.25">
      <c r="E1766" s="147">
        <f t="shared" si="26"/>
        <v>1</v>
      </c>
      <c r="F1766" s="155" cm="1">
        <f t="array" aca="1" ref="F1766" ca="1">IFERROR(_xlfn.STOCKHISTORY("USD/BRL",E1766,E1766,0,0,1),Preços!$C$3)</f>
        <v>6.1798000000000002</v>
      </c>
    </row>
    <row r="1767" spans="5:6" x14ac:dyDescent="0.25">
      <c r="E1767" s="147">
        <f t="shared" si="26"/>
        <v>1</v>
      </c>
      <c r="F1767" s="155" cm="1">
        <f t="array" aca="1" ref="F1767" ca="1">IFERROR(_xlfn.STOCKHISTORY("USD/BRL",E1767,E1767,0,0,1),Preços!$C$3)</f>
        <v>6.1798000000000002</v>
      </c>
    </row>
    <row r="1768" spans="5:6" x14ac:dyDescent="0.25">
      <c r="E1768" s="147">
        <f t="shared" si="26"/>
        <v>1</v>
      </c>
      <c r="F1768" s="155" cm="1">
        <f t="array" aca="1" ref="F1768" ca="1">IFERROR(_xlfn.STOCKHISTORY("USD/BRL",E1768,E1768,0,0,1),Preços!$C$3)</f>
        <v>6.1798000000000002</v>
      </c>
    </row>
    <row r="1769" spans="5:6" x14ac:dyDescent="0.25">
      <c r="E1769" s="147">
        <f t="shared" si="26"/>
        <v>1</v>
      </c>
      <c r="F1769" s="155" cm="1">
        <f t="array" aca="1" ref="F1769" ca="1">IFERROR(_xlfn.STOCKHISTORY("USD/BRL",E1769,E1769,0,0,1),Preços!$C$3)</f>
        <v>6.1798000000000002</v>
      </c>
    </row>
    <row r="1770" spans="5:6" x14ac:dyDescent="0.25">
      <c r="E1770" s="147">
        <f t="shared" si="26"/>
        <v>1</v>
      </c>
      <c r="F1770" s="155" cm="1">
        <f t="array" aca="1" ref="F1770" ca="1">IFERROR(_xlfn.STOCKHISTORY("USD/BRL",E1770,E1770,0,0,1),Preços!$C$3)</f>
        <v>6.1798000000000002</v>
      </c>
    </row>
    <row r="1771" spans="5:6" x14ac:dyDescent="0.25">
      <c r="E1771" s="147">
        <f t="shared" si="26"/>
        <v>1</v>
      </c>
      <c r="F1771" s="155" cm="1">
        <f t="array" aca="1" ref="F1771" ca="1">IFERROR(_xlfn.STOCKHISTORY("USD/BRL",E1771,E1771,0,0,1),Preços!$C$3)</f>
        <v>6.1798000000000002</v>
      </c>
    </row>
    <row r="1772" spans="5:6" x14ac:dyDescent="0.25">
      <c r="E1772" s="147">
        <f t="shared" si="26"/>
        <v>1</v>
      </c>
      <c r="F1772" s="155" cm="1">
        <f t="array" aca="1" ref="F1772" ca="1">IFERROR(_xlfn.STOCKHISTORY("USD/BRL",E1772,E1772,0,0,1),Preços!$C$3)</f>
        <v>6.1798000000000002</v>
      </c>
    </row>
    <row r="1773" spans="5:6" x14ac:dyDescent="0.25">
      <c r="E1773" s="147">
        <f t="shared" si="26"/>
        <v>1</v>
      </c>
      <c r="F1773" s="155" cm="1">
        <f t="array" aca="1" ref="F1773" ca="1">IFERROR(_xlfn.STOCKHISTORY("USD/BRL",E1773,E1773,0,0,1),Preços!$C$3)</f>
        <v>6.1798000000000002</v>
      </c>
    </row>
    <row r="1774" spans="5:6" x14ac:dyDescent="0.25">
      <c r="E1774" s="147">
        <f t="shared" si="26"/>
        <v>1</v>
      </c>
      <c r="F1774" s="155" cm="1">
        <f t="array" aca="1" ref="F1774" ca="1">IFERROR(_xlfn.STOCKHISTORY("USD/BRL",E1774,E1774,0,0,1),Preços!$C$3)</f>
        <v>6.1798000000000002</v>
      </c>
    </row>
    <row r="1775" spans="5:6" x14ac:dyDescent="0.25">
      <c r="E1775" s="147">
        <f t="shared" si="26"/>
        <v>1</v>
      </c>
      <c r="F1775" s="155" cm="1">
        <f t="array" aca="1" ref="F1775" ca="1">IFERROR(_xlfn.STOCKHISTORY("USD/BRL",E1775,E1775,0,0,1),Preços!$C$3)</f>
        <v>6.1798000000000002</v>
      </c>
    </row>
    <row r="1776" spans="5:6" x14ac:dyDescent="0.25">
      <c r="E1776" s="147">
        <f t="shared" si="26"/>
        <v>1</v>
      </c>
      <c r="F1776" s="155" cm="1">
        <f t="array" aca="1" ref="F1776" ca="1">IFERROR(_xlfn.STOCKHISTORY("USD/BRL",E1776,E1776,0,0,1),Preços!$C$3)</f>
        <v>6.1798000000000002</v>
      </c>
    </row>
    <row r="1777" spans="5:6" x14ac:dyDescent="0.25">
      <c r="E1777" s="147">
        <f t="shared" si="26"/>
        <v>1</v>
      </c>
      <c r="F1777" s="155" cm="1">
        <f t="array" aca="1" ref="F1777" ca="1">IFERROR(_xlfn.STOCKHISTORY("USD/BRL",E1777,E1777,0,0,1),Preços!$C$3)</f>
        <v>6.1798000000000002</v>
      </c>
    </row>
    <row r="1778" spans="5:6" x14ac:dyDescent="0.25">
      <c r="E1778" s="147">
        <f t="shared" si="26"/>
        <v>1</v>
      </c>
      <c r="F1778" s="155" cm="1">
        <f t="array" aca="1" ref="F1778" ca="1">IFERROR(_xlfn.STOCKHISTORY("USD/BRL",E1778,E1778,0,0,1),Preços!$C$3)</f>
        <v>6.1798000000000002</v>
      </c>
    </row>
    <row r="1779" spans="5:6" x14ac:dyDescent="0.25">
      <c r="E1779" s="147">
        <f t="shared" si="26"/>
        <v>1</v>
      </c>
      <c r="F1779" s="155" cm="1">
        <f t="array" aca="1" ref="F1779" ca="1">IFERROR(_xlfn.STOCKHISTORY("USD/BRL",E1779,E1779,0,0,1),Preços!$C$3)</f>
        <v>6.1798000000000002</v>
      </c>
    </row>
    <row r="1780" spans="5:6" x14ac:dyDescent="0.25">
      <c r="E1780" s="147">
        <f t="shared" si="26"/>
        <v>1</v>
      </c>
      <c r="F1780" s="155" cm="1">
        <f t="array" aca="1" ref="F1780" ca="1">IFERROR(_xlfn.STOCKHISTORY("USD/BRL",E1780,E1780,0,0,1),Preços!$C$3)</f>
        <v>6.1798000000000002</v>
      </c>
    </row>
    <row r="1781" spans="5:6" x14ac:dyDescent="0.25">
      <c r="E1781" s="147">
        <f t="shared" si="26"/>
        <v>1</v>
      </c>
      <c r="F1781" s="155" cm="1">
        <f t="array" aca="1" ref="F1781" ca="1">IFERROR(_xlfn.STOCKHISTORY("USD/BRL",E1781,E1781,0,0,1),Preços!$C$3)</f>
        <v>6.1798000000000002</v>
      </c>
    </row>
    <row r="1782" spans="5:6" x14ac:dyDescent="0.25">
      <c r="E1782" s="147">
        <f t="shared" si="26"/>
        <v>1</v>
      </c>
      <c r="F1782" s="155" cm="1">
        <f t="array" aca="1" ref="F1782" ca="1">IFERROR(_xlfn.STOCKHISTORY("USD/BRL",E1782,E1782,0,0,1),Preços!$C$3)</f>
        <v>6.1798000000000002</v>
      </c>
    </row>
    <row r="1783" spans="5:6" x14ac:dyDescent="0.25">
      <c r="E1783" s="147">
        <f t="shared" si="26"/>
        <v>1</v>
      </c>
      <c r="F1783" s="155" cm="1">
        <f t="array" aca="1" ref="F1783" ca="1">IFERROR(_xlfn.STOCKHISTORY("USD/BRL",E1783,E1783,0,0,1),Preços!$C$3)</f>
        <v>6.1798000000000002</v>
      </c>
    </row>
    <row r="1784" spans="5:6" x14ac:dyDescent="0.25">
      <c r="E1784" s="147">
        <f t="shared" si="26"/>
        <v>1</v>
      </c>
      <c r="F1784" s="155" cm="1">
        <f t="array" aca="1" ref="F1784" ca="1">IFERROR(_xlfn.STOCKHISTORY("USD/BRL",E1784,E1784,0,0,1),Preços!$C$3)</f>
        <v>6.1798000000000002</v>
      </c>
    </row>
    <row r="1785" spans="5:6" x14ac:dyDescent="0.25">
      <c r="E1785" s="147">
        <f t="shared" si="26"/>
        <v>1</v>
      </c>
      <c r="F1785" s="155" cm="1">
        <f t="array" aca="1" ref="F1785" ca="1">IFERROR(_xlfn.STOCKHISTORY("USD/BRL",E1785,E1785,0,0,1),Preços!$C$3)</f>
        <v>6.1798000000000002</v>
      </c>
    </row>
    <row r="1786" spans="5:6" x14ac:dyDescent="0.25">
      <c r="E1786" s="147">
        <f t="shared" si="26"/>
        <v>1</v>
      </c>
      <c r="F1786" s="155" cm="1">
        <f t="array" aca="1" ref="F1786" ca="1">IFERROR(_xlfn.STOCKHISTORY("USD/BRL",E1786,E1786,0,0,1),Preços!$C$3)</f>
        <v>6.1798000000000002</v>
      </c>
    </row>
    <row r="1787" spans="5:6" x14ac:dyDescent="0.25">
      <c r="E1787" s="147">
        <f t="shared" si="26"/>
        <v>1</v>
      </c>
      <c r="F1787" s="155" cm="1">
        <f t="array" aca="1" ref="F1787" ca="1">IFERROR(_xlfn.STOCKHISTORY("USD/BRL",E1787,E1787,0,0,1),Preços!$C$3)</f>
        <v>6.1798000000000002</v>
      </c>
    </row>
    <row r="1788" spans="5:6" x14ac:dyDescent="0.25">
      <c r="E1788" s="147">
        <f t="shared" si="26"/>
        <v>1</v>
      </c>
      <c r="F1788" s="155" cm="1">
        <f t="array" aca="1" ref="F1788" ca="1">IFERROR(_xlfn.STOCKHISTORY("USD/BRL",E1788,E1788,0,0,1),Preços!$C$3)</f>
        <v>6.1798000000000002</v>
      </c>
    </row>
    <row r="1789" spans="5:6" x14ac:dyDescent="0.25">
      <c r="E1789" s="147">
        <f t="shared" si="26"/>
        <v>1</v>
      </c>
      <c r="F1789" s="155" cm="1">
        <f t="array" aca="1" ref="F1789" ca="1">IFERROR(_xlfn.STOCKHISTORY("USD/BRL",E1789,E1789,0,0,1),Preços!$C$3)</f>
        <v>6.1798000000000002</v>
      </c>
    </row>
    <row r="1790" spans="5:6" x14ac:dyDescent="0.25">
      <c r="E1790" s="147">
        <f t="shared" si="26"/>
        <v>1</v>
      </c>
      <c r="F1790" s="155" cm="1">
        <f t="array" aca="1" ref="F1790" ca="1">IFERROR(_xlfn.STOCKHISTORY("USD/BRL",E1790,E1790,0,0,1),Preços!$C$3)</f>
        <v>6.1798000000000002</v>
      </c>
    </row>
    <row r="1791" spans="5:6" x14ac:dyDescent="0.25">
      <c r="E1791" s="147">
        <f t="shared" si="26"/>
        <v>1</v>
      </c>
      <c r="F1791" s="155" cm="1">
        <f t="array" aca="1" ref="F1791" ca="1">IFERROR(_xlfn.STOCKHISTORY("USD/BRL",E1791,E1791,0,0,1),Preços!$C$3)</f>
        <v>6.1798000000000002</v>
      </c>
    </row>
    <row r="1792" spans="5:6" x14ac:dyDescent="0.25">
      <c r="E1792" s="147">
        <f t="shared" si="26"/>
        <v>1</v>
      </c>
      <c r="F1792" s="155" cm="1">
        <f t="array" aca="1" ref="F1792" ca="1">IFERROR(_xlfn.STOCKHISTORY("USD/BRL",E1792,E1792,0,0,1),Preços!$C$3)</f>
        <v>6.1798000000000002</v>
      </c>
    </row>
    <row r="1793" spans="5:6" x14ac:dyDescent="0.25">
      <c r="E1793" s="147">
        <f t="shared" si="26"/>
        <v>1</v>
      </c>
      <c r="F1793" s="155" cm="1">
        <f t="array" aca="1" ref="F1793" ca="1">IFERROR(_xlfn.STOCKHISTORY("USD/BRL",E1793,E1793,0,0,1),Preços!$C$3)</f>
        <v>6.1798000000000002</v>
      </c>
    </row>
    <row r="1794" spans="5:6" x14ac:dyDescent="0.25">
      <c r="E1794" s="147">
        <f t="shared" si="26"/>
        <v>1</v>
      </c>
      <c r="F1794" s="155" cm="1">
        <f t="array" aca="1" ref="F1794" ca="1">IFERROR(_xlfn.STOCKHISTORY("USD/BRL",E1794,E1794,0,0,1),Preços!$C$3)</f>
        <v>6.1798000000000002</v>
      </c>
    </row>
    <row r="1795" spans="5:6" x14ac:dyDescent="0.25">
      <c r="E1795" s="147">
        <f t="shared" si="26"/>
        <v>1</v>
      </c>
      <c r="F1795" s="155" cm="1">
        <f t="array" aca="1" ref="F1795" ca="1">IFERROR(_xlfn.STOCKHISTORY("USD/BRL",E1795,E1795,0,0,1),Preços!$C$3)</f>
        <v>6.1798000000000002</v>
      </c>
    </row>
    <row r="1796" spans="5:6" x14ac:dyDescent="0.25">
      <c r="E1796" s="147">
        <f t="shared" ref="E1796:E1859" si="27">DATE(YEAR(D1702),MONTH(D1702),1)</f>
        <v>1</v>
      </c>
      <c r="F1796" s="155" cm="1">
        <f t="array" aca="1" ref="F1796" ca="1">IFERROR(_xlfn.STOCKHISTORY("USD/BRL",E1796,E1796,0,0,1),Preços!$C$3)</f>
        <v>6.1798000000000002</v>
      </c>
    </row>
    <row r="1797" spans="5:6" x14ac:dyDescent="0.25">
      <c r="E1797" s="147">
        <f t="shared" si="27"/>
        <v>1</v>
      </c>
      <c r="F1797" s="155" cm="1">
        <f t="array" aca="1" ref="F1797" ca="1">IFERROR(_xlfn.STOCKHISTORY("USD/BRL",E1797,E1797,0,0,1),Preços!$C$3)</f>
        <v>6.1798000000000002</v>
      </c>
    </row>
    <row r="1798" spans="5:6" x14ac:dyDescent="0.25">
      <c r="E1798" s="147">
        <f t="shared" si="27"/>
        <v>1</v>
      </c>
      <c r="F1798" s="155" cm="1">
        <f t="array" aca="1" ref="F1798" ca="1">IFERROR(_xlfn.STOCKHISTORY("USD/BRL",E1798,E1798,0,0,1),Preços!$C$3)</f>
        <v>6.1798000000000002</v>
      </c>
    </row>
    <row r="1799" spans="5:6" x14ac:dyDescent="0.25">
      <c r="E1799" s="147">
        <f t="shared" si="27"/>
        <v>1</v>
      </c>
      <c r="F1799" s="155" cm="1">
        <f t="array" aca="1" ref="F1799" ca="1">IFERROR(_xlfn.STOCKHISTORY("USD/BRL",E1799,E1799,0,0,1),Preços!$C$3)</f>
        <v>6.1798000000000002</v>
      </c>
    </row>
    <row r="1800" spans="5:6" x14ac:dyDescent="0.25">
      <c r="E1800" s="147">
        <f t="shared" si="27"/>
        <v>1</v>
      </c>
      <c r="F1800" s="155" cm="1">
        <f t="array" aca="1" ref="F1800" ca="1">IFERROR(_xlfn.STOCKHISTORY("USD/BRL",E1800,E1800,0,0,1),Preços!$C$3)</f>
        <v>6.1798000000000002</v>
      </c>
    </row>
    <row r="1801" spans="5:6" x14ac:dyDescent="0.25">
      <c r="E1801" s="147">
        <f t="shared" si="27"/>
        <v>1</v>
      </c>
      <c r="F1801" s="155" cm="1">
        <f t="array" aca="1" ref="F1801" ca="1">IFERROR(_xlfn.STOCKHISTORY("USD/BRL",E1801,E1801,0,0,1),Preços!$C$3)</f>
        <v>6.1798000000000002</v>
      </c>
    </row>
    <row r="1802" spans="5:6" x14ac:dyDescent="0.25">
      <c r="E1802" s="147">
        <f t="shared" si="27"/>
        <v>1</v>
      </c>
      <c r="F1802" s="155" cm="1">
        <f t="array" aca="1" ref="F1802" ca="1">IFERROR(_xlfn.STOCKHISTORY("USD/BRL",E1802,E1802,0,0,1),Preços!$C$3)</f>
        <v>6.1798000000000002</v>
      </c>
    </row>
    <row r="1803" spans="5:6" x14ac:dyDescent="0.25">
      <c r="E1803" s="147">
        <f t="shared" si="27"/>
        <v>1</v>
      </c>
      <c r="F1803" s="155" cm="1">
        <f t="array" aca="1" ref="F1803" ca="1">IFERROR(_xlfn.STOCKHISTORY("USD/BRL",E1803,E1803,0,0,1),Preços!$C$3)</f>
        <v>6.1798000000000002</v>
      </c>
    </row>
    <row r="1804" spans="5:6" x14ac:dyDescent="0.25">
      <c r="E1804" s="147">
        <f t="shared" si="27"/>
        <v>1</v>
      </c>
      <c r="F1804" s="155" cm="1">
        <f t="array" aca="1" ref="F1804" ca="1">IFERROR(_xlfn.STOCKHISTORY("USD/BRL",E1804,E1804,0,0,1),Preços!$C$3)</f>
        <v>6.1798000000000002</v>
      </c>
    </row>
    <row r="1805" spans="5:6" x14ac:dyDescent="0.25">
      <c r="E1805" s="147">
        <f t="shared" si="27"/>
        <v>1</v>
      </c>
      <c r="F1805" s="155" cm="1">
        <f t="array" aca="1" ref="F1805" ca="1">IFERROR(_xlfn.STOCKHISTORY("USD/BRL",E1805,E1805,0,0,1),Preços!$C$3)</f>
        <v>6.1798000000000002</v>
      </c>
    </row>
    <row r="1806" spans="5:6" x14ac:dyDescent="0.25">
      <c r="E1806" s="147">
        <f t="shared" si="27"/>
        <v>1</v>
      </c>
      <c r="F1806" s="155" cm="1">
        <f t="array" aca="1" ref="F1806" ca="1">IFERROR(_xlfn.STOCKHISTORY("USD/BRL",E1806,E1806,0,0,1),Preços!$C$3)</f>
        <v>6.1798000000000002</v>
      </c>
    </row>
    <row r="1807" spans="5:6" x14ac:dyDescent="0.25">
      <c r="E1807" s="147">
        <f t="shared" si="27"/>
        <v>1</v>
      </c>
      <c r="F1807" s="155" cm="1">
        <f t="array" aca="1" ref="F1807" ca="1">IFERROR(_xlfn.STOCKHISTORY("USD/BRL",E1807,E1807,0,0,1),Preços!$C$3)</f>
        <v>6.1798000000000002</v>
      </c>
    </row>
    <row r="1808" spans="5:6" x14ac:dyDescent="0.25">
      <c r="E1808" s="147">
        <f t="shared" si="27"/>
        <v>1</v>
      </c>
      <c r="F1808" s="155" cm="1">
        <f t="array" aca="1" ref="F1808" ca="1">IFERROR(_xlfn.STOCKHISTORY("USD/BRL",E1808,E1808,0,0,1),Preços!$C$3)</f>
        <v>6.1798000000000002</v>
      </c>
    </row>
    <row r="1809" spans="5:6" x14ac:dyDescent="0.25">
      <c r="E1809" s="147">
        <f t="shared" si="27"/>
        <v>1</v>
      </c>
      <c r="F1809" s="155" cm="1">
        <f t="array" aca="1" ref="F1809" ca="1">IFERROR(_xlfn.STOCKHISTORY("USD/BRL",E1809,E1809,0,0,1),Preços!$C$3)</f>
        <v>6.1798000000000002</v>
      </c>
    </row>
    <row r="1810" spans="5:6" x14ac:dyDescent="0.25">
      <c r="E1810" s="147">
        <f t="shared" si="27"/>
        <v>1</v>
      </c>
      <c r="F1810" s="155" cm="1">
        <f t="array" aca="1" ref="F1810" ca="1">IFERROR(_xlfn.STOCKHISTORY("USD/BRL",E1810,E1810,0,0,1),Preços!$C$3)</f>
        <v>6.1798000000000002</v>
      </c>
    </row>
    <row r="1811" spans="5:6" x14ac:dyDescent="0.25">
      <c r="E1811" s="147">
        <f t="shared" si="27"/>
        <v>1</v>
      </c>
      <c r="F1811" s="155" cm="1">
        <f t="array" aca="1" ref="F1811" ca="1">IFERROR(_xlfn.STOCKHISTORY("USD/BRL",E1811,E1811,0,0,1),Preços!$C$3)</f>
        <v>6.1798000000000002</v>
      </c>
    </row>
    <row r="1812" spans="5:6" x14ac:dyDescent="0.25">
      <c r="E1812" s="147">
        <f t="shared" si="27"/>
        <v>1</v>
      </c>
      <c r="F1812" s="155" cm="1">
        <f t="array" aca="1" ref="F1812" ca="1">IFERROR(_xlfn.STOCKHISTORY("USD/BRL",E1812,E1812,0,0,1),Preços!$C$3)</f>
        <v>6.1798000000000002</v>
      </c>
    </row>
    <row r="1813" spans="5:6" x14ac:dyDescent="0.25">
      <c r="E1813" s="147">
        <f t="shared" si="27"/>
        <v>1</v>
      </c>
      <c r="F1813" s="155" cm="1">
        <f t="array" aca="1" ref="F1813" ca="1">IFERROR(_xlfn.STOCKHISTORY("USD/BRL",E1813,E1813,0,0,1),Preços!$C$3)</f>
        <v>6.1798000000000002</v>
      </c>
    </row>
    <row r="1814" spans="5:6" x14ac:dyDescent="0.25">
      <c r="E1814" s="147">
        <f t="shared" si="27"/>
        <v>1</v>
      </c>
      <c r="F1814" s="155" cm="1">
        <f t="array" aca="1" ref="F1814" ca="1">IFERROR(_xlfn.STOCKHISTORY("USD/BRL",E1814,E1814,0,0,1),Preços!$C$3)</f>
        <v>6.1798000000000002</v>
      </c>
    </row>
    <row r="1815" spans="5:6" x14ac:dyDescent="0.25">
      <c r="E1815" s="147">
        <f t="shared" si="27"/>
        <v>1</v>
      </c>
      <c r="F1815" s="155" cm="1">
        <f t="array" aca="1" ref="F1815" ca="1">IFERROR(_xlfn.STOCKHISTORY("USD/BRL",E1815,E1815,0,0,1),Preços!$C$3)</f>
        <v>6.1798000000000002</v>
      </c>
    </row>
    <row r="1816" spans="5:6" x14ac:dyDescent="0.25">
      <c r="E1816" s="147">
        <f t="shared" si="27"/>
        <v>1</v>
      </c>
      <c r="F1816" s="155" cm="1">
        <f t="array" aca="1" ref="F1816" ca="1">IFERROR(_xlfn.STOCKHISTORY("USD/BRL",E1816,E1816,0,0,1),Preços!$C$3)</f>
        <v>6.1798000000000002</v>
      </c>
    </row>
    <row r="1817" spans="5:6" x14ac:dyDescent="0.25">
      <c r="E1817" s="147">
        <f t="shared" si="27"/>
        <v>1</v>
      </c>
      <c r="F1817" s="155" cm="1">
        <f t="array" aca="1" ref="F1817" ca="1">IFERROR(_xlfn.STOCKHISTORY("USD/BRL",E1817,E1817,0,0,1),Preços!$C$3)</f>
        <v>6.1798000000000002</v>
      </c>
    </row>
    <row r="1818" spans="5:6" x14ac:dyDescent="0.25">
      <c r="E1818" s="147">
        <f t="shared" si="27"/>
        <v>1</v>
      </c>
      <c r="F1818" s="155" cm="1">
        <f t="array" aca="1" ref="F1818" ca="1">IFERROR(_xlfn.STOCKHISTORY("USD/BRL",E1818,E1818,0,0,1),Preços!$C$3)</f>
        <v>6.1798000000000002</v>
      </c>
    </row>
    <row r="1819" spans="5:6" x14ac:dyDescent="0.25">
      <c r="E1819" s="147">
        <f t="shared" si="27"/>
        <v>1</v>
      </c>
      <c r="F1819" s="155" cm="1">
        <f t="array" aca="1" ref="F1819" ca="1">IFERROR(_xlfn.STOCKHISTORY("USD/BRL",E1819,E1819,0,0,1),Preços!$C$3)</f>
        <v>6.1798000000000002</v>
      </c>
    </row>
    <row r="1820" spans="5:6" x14ac:dyDescent="0.25">
      <c r="E1820" s="147">
        <f t="shared" si="27"/>
        <v>1</v>
      </c>
      <c r="F1820" s="155" cm="1">
        <f t="array" aca="1" ref="F1820" ca="1">IFERROR(_xlfn.STOCKHISTORY("USD/BRL",E1820,E1820,0,0,1),Preços!$C$3)</f>
        <v>6.1798000000000002</v>
      </c>
    </row>
    <row r="1821" spans="5:6" x14ac:dyDescent="0.25">
      <c r="E1821" s="147">
        <f t="shared" si="27"/>
        <v>1</v>
      </c>
      <c r="F1821" s="155" cm="1">
        <f t="array" aca="1" ref="F1821" ca="1">IFERROR(_xlfn.STOCKHISTORY("USD/BRL",E1821,E1821,0,0,1),Preços!$C$3)</f>
        <v>6.1798000000000002</v>
      </c>
    </row>
    <row r="1822" spans="5:6" x14ac:dyDescent="0.25">
      <c r="E1822" s="147">
        <f t="shared" si="27"/>
        <v>1</v>
      </c>
      <c r="F1822" s="155" cm="1">
        <f t="array" aca="1" ref="F1822" ca="1">IFERROR(_xlfn.STOCKHISTORY("USD/BRL",E1822,E1822,0,0,1),Preços!$C$3)</f>
        <v>6.1798000000000002</v>
      </c>
    </row>
    <row r="1823" spans="5:6" x14ac:dyDescent="0.25">
      <c r="E1823" s="147">
        <f t="shared" si="27"/>
        <v>1</v>
      </c>
      <c r="F1823" s="155" cm="1">
        <f t="array" aca="1" ref="F1823" ca="1">IFERROR(_xlfn.STOCKHISTORY("USD/BRL",E1823,E1823,0,0,1),Preços!$C$3)</f>
        <v>6.1798000000000002</v>
      </c>
    </row>
    <row r="1824" spans="5:6" x14ac:dyDescent="0.25">
      <c r="E1824" s="147">
        <f t="shared" si="27"/>
        <v>1</v>
      </c>
      <c r="F1824" s="155" cm="1">
        <f t="array" aca="1" ref="F1824" ca="1">IFERROR(_xlfn.STOCKHISTORY("USD/BRL",E1824,E1824,0,0,1),Preços!$C$3)</f>
        <v>6.1798000000000002</v>
      </c>
    </row>
    <row r="1825" spans="5:6" x14ac:dyDescent="0.25">
      <c r="E1825" s="147">
        <f t="shared" si="27"/>
        <v>1</v>
      </c>
      <c r="F1825" s="155" cm="1">
        <f t="array" aca="1" ref="F1825" ca="1">IFERROR(_xlfn.STOCKHISTORY("USD/BRL",E1825,E1825,0,0,1),Preços!$C$3)</f>
        <v>6.1798000000000002</v>
      </c>
    </row>
    <row r="1826" spans="5:6" x14ac:dyDescent="0.25">
      <c r="E1826" s="147">
        <f t="shared" si="27"/>
        <v>1</v>
      </c>
      <c r="F1826" s="155" cm="1">
        <f t="array" aca="1" ref="F1826" ca="1">IFERROR(_xlfn.STOCKHISTORY("USD/BRL",E1826,E1826,0,0,1),Preços!$C$3)</f>
        <v>6.1798000000000002</v>
      </c>
    </row>
    <row r="1827" spans="5:6" x14ac:dyDescent="0.25">
      <c r="E1827" s="147">
        <f t="shared" si="27"/>
        <v>1</v>
      </c>
      <c r="F1827" s="155" cm="1">
        <f t="array" aca="1" ref="F1827" ca="1">IFERROR(_xlfn.STOCKHISTORY("USD/BRL",E1827,E1827,0,0,1),Preços!$C$3)</f>
        <v>6.1798000000000002</v>
      </c>
    </row>
    <row r="1828" spans="5:6" x14ac:dyDescent="0.25">
      <c r="E1828" s="147">
        <f t="shared" si="27"/>
        <v>1</v>
      </c>
      <c r="F1828" s="155" cm="1">
        <f t="array" aca="1" ref="F1828" ca="1">IFERROR(_xlfn.STOCKHISTORY("USD/BRL",E1828,E1828,0,0,1),Preços!$C$3)</f>
        <v>6.1798000000000002</v>
      </c>
    </row>
    <row r="1829" spans="5:6" x14ac:dyDescent="0.25">
      <c r="E1829" s="147">
        <f t="shared" si="27"/>
        <v>1</v>
      </c>
      <c r="F1829" s="155" cm="1">
        <f t="array" aca="1" ref="F1829" ca="1">IFERROR(_xlfn.STOCKHISTORY("USD/BRL",E1829,E1829,0,0,1),Preços!$C$3)</f>
        <v>6.1798000000000002</v>
      </c>
    </row>
    <row r="1830" spans="5:6" x14ac:dyDescent="0.25">
      <c r="E1830" s="147">
        <f t="shared" si="27"/>
        <v>1</v>
      </c>
      <c r="F1830" s="155" cm="1">
        <f t="array" aca="1" ref="F1830" ca="1">IFERROR(_xlfn.STOCKHISTORY("USD/BRL",E1830,E1830,0,0,1),Preços!$C$3)</f>
        <v>6.1798000000000002</v>
      </c>
    </row>
    <row r="1831" spans="5:6" x14ac:dyDescent="0.25">
      <c r="E1831" s="147">
        <f t="shared" si="27"/>
        <v>1</v>
      </c>
      <c r="F1831" s="155" cm="1">
        <f t="array" aca="1" ref="F1831" ca="1">IFERROR(_xlfn.STOCKHISTORY("USD/BRL",E1831,E1831,0,0,1),Preços!$C$3)</f>
        <v>6.1798000000000002</v>
      </c>
    </row>
    <row r="1832" spans="5:6" x14ac:dyDescent="0.25">
      <c r="E1832" s="147">
        <f t="shared" si="27"/>
        <v>1</v>
      </c>
      <c r="F1832" s="155" cm="1">
        <f t="array" aca="1" ref="F1832" ca="1">IFERROR(_xlfn.STOCKHISTORY("USD/BRL",E1832,E1832,0,0,1),Preços!$C$3)</f>
        <v>6.1798000000000002</v>
      </c>
    </row>
    <row r="1833" spans="5:6" x14ac:dyDescent="0.25">
      <c r="E1833" s="147">
        <f t="shared" si="27"/>
        <v>1</v>
      </c>
      <c r="F1833" s="155" cm="1">
        <f t="array" aca="1" ref="F1833" ca="1">IFERROR(_xlfn.STOCKHISTORY("USD/BRL",E1833,E1833,0,0,1),Preços!$C$3)</f>
        <v>6.1798000000000002</v>
      </c>
    </row>
    <row r="1834" spans="5:6" x14ac:dyDescent="0.25">
      <c r="E1834" s="147">
        <f t="shared" si="27"/>
        <v>1</v>
      </c>
      <c r="F1834" s="155" cm="1">
        <f t="array" aca="1" ref="F1834" ca="1">IFERROR(_xlfn.STOCKHISTORY("USD/BRL",E1834,E1834,0,0,1),Preços!$C$3)</f>
        <v>6.1798000000000002</v>
      </c>
    </row>
    <row r="1835" spans="5:6" x14ac:dyDescent="0.25">
      <c r="E1835" s="147">
        <f t="shared" si="27"/>
        <v>1</v>
      </c>
      <c r="F1835" s="155" cm="1">
        <f t="array" aca="1" ref="F1835" ca="1">IFERROR(_xlfn.STOCKHISTORY("USD/BRL",E1835,E1835,0,0,1),Preços!$C$3)</f>
        <v>6.1798000000000002</v>
      </c>
    </row>
    <row r="1836" spans="5:6" x14ac:dyDescent="0.25">
      <c r="E1836" s="147">
        <f t="shared" si="27"/>
        <v>1</v>
      </c>
      <c r="F1836" s="155" cm="1">
        <f t="array" aca="1" ref="F1836" ca="1">IFERROR(_xlfn.STOCKHISTORY("USD/BRL",E1836,E1836,0,0,1),Preços!$C$3)</f>
        <v>6.1798000000000002</v>
      </c>
    </row>
    <row r="1837" spans="5:6" x14ac:dyDescent="0.25">
      <c r="E1837" s="147">
        <f t="shared" si="27"/>
        <v>1</v>
      </c>
      <c r="F1837" s="155" cm="1">
        <f t="array" aca="1" ref="F1837" ca="1">IFERROR(_xlfn.STOCKHISTORY("USD/BRL",E1837,E1837,0,0,1),Preços!$C$3)</f>
        <v>6.1798000000000002</v>
      </c>
    </row>
    <row r="1838" spans="5:6" x14ac:dyDescent="0.25">
      <c r="E1838" s="147">
        <f t="shared" si="27"/>
        <v>1</v>
      </c>
      <c r="F1838" s="155" cm="1">
        <f t="array" aca="1" ref="F1838" ca="1">IFERROR(_xlfn.STOCKHISTORY("USD/BRL",E1838,E1838,0,0,1),Preços!$C$3)</f>
        <v>6.1798000000000002</v>
      </c>
    </row>
    <row r="1839" spans="5:6" x14ac:dyDescent="0.25">
      <c r="E1839" s="147">
        <f t="shared" si="27"/>
        <v>1</v>
      </c>
      <c r="F1839" s="155" cm="1">
        <f t="array" aca="1" ref="F1839" ca="1">IFERROR(_xlfn.STOCKHISTORY("USD/BRL",E1839,E1839,0,0,1),Preços!$C$3)</f>
        <v>6.1798000000000002</v>
      </c>
    </row>
    <row r="1840" spans="5:6" x14ac:dyDescent="0.25">
      <c r="E1840" s="147">
        <f t="shared" si="27"/>
        <v>1</v>
      </c>
      <c r="F1840" s="155" cm="1">
        <f t="array" aca="1" ref="F1840" ca="1">IFERROR(_xlfn.STOCKHISTORY("USD/BRL",E1840,E1840,0,0,1),Preços!$C$3)</f>
        <v>6.1798000000000002</v>
      </c>
    </row>
    <row r="1841" spans="5:6" x14ac:dyDescent="0.25">
      <c r="E1841" s="147">
        <f t="shared" si="27"/>
        <v>1</v>
      </c>
      <c r="F1841" s="155" cm="1">
        <f t="array" aca="1" ref="F1841" ca="1">IFERROR(_xlfn.STOCKHISTORY("USD/BRL",E1841,E1841,0,0,1),Preços!$C$3)</f>
        <v>6.1798000000000002</v>
      </c>
    </row>
    <row r="1842" spans="5:6" x14ac:dyDescent="0.25">
      <c r="E1842" s="147">
        <f t="shared" si="27"/>
        <v>1</v>
      </c>
      <c r="F1842" s="155" cm="1">
        <f t="array" aca="1" ref="F1842" ca="1">IFERROR(_xlfn.STOCKHISTORY("USD/BRL",E1842,E1842,0,0,1),Preços!$C$3)</f>
        <v>6.1798000000000002</v>
      </c>
    </row>
    <row r="1843" spans="5:6" x14ac:dyDescent="0.25">
      <c r="E1843" s="147">
        <f t="shared" si="27"/>
        <v>1</v>
      </c>
      <c r="F1843" s="155" cm="1">
        <f t="array" aca="1" ref="F1843" ca="1">IFERROR(_xlfn.STOCKHISTORY("USD/BRL",E1843,E1843,0,0,1),Preços!$C$3)</f>
        <v>6.1798000000000002</v>
      </c>
    </row>
    <row r="1844" spans="5:6" x14ac:dyDescent="0.25">
      <c r="E1844" s="147">
        <f t="shared" si="27"/>
        <v>1</v>
      </c>
      <c r="F1844" s="155" cm="1">
        <f t="array" aca="1" ref="F1844" ca="1">IFERROR(_xlfn.STOCKHISTORY("USD/BRL",E1844,E1844,0,0,1),Preços!$C$3)</f>
        <v>6.1798000000000002</v>
      </c>
    </row>
    <row r="1845" spans="5:6" x14ac:dyDescent="0.25">
      <c r="E1845" s="147">
        <f t="shared" si="27"/>
        <v>1</v>
      </c>
      <c r="F1845" s="155" cm="1">
        <f t="array" aca="1" ref="F1845" ca="1">IFERROR(_xlfn.STOCKHISTORY("USD/BRL",E1845,E1845,0,0,1),Preços!$C$3)</f>
        <v>6.1798000000000002</v>
      </c>
    </row>
    <row r="1846" spans="5:6" x14ac:dyDescent="0.25">
      <c r="E1846" s="147">
        <f t="shared" si="27"/>
        <v>1</v>
      </c>
      <c r="F1846" s="155" cm="1">
        <f t="array" aca="1" ref="F1846" ca="1">IFERROR(_xlfn.STOCKHISTORY("USD/BRL",E1846,E1846,0,0,1),Preços!$C$3)</f>
        <v>6.1798000000000002</v>
      </c>
    </row>
    <row r="1847" spans="5:6" x14ac:dyDescent="0.25">
      <c r="E1847" s="147">
        <f t="shared" si="27"/>
        <v>1</v>
      </c>
      <c r="F1847" s="155" cm="1">
        <f t="array" aca="1" ref="F1847" ca="1">IFERROR(_xlfn.STOCKHISTORY("USD/BRL",E1847,E1847,0,0,1),Preços!$C$3)</f>
        <v>6.1798000000000002</v>
      </c>
    </row>
    <row r="1848" spans="5:6" x14ac:dyDescent="0.25">
      <c r="E1848" s="147">
        <f t="shared" si="27"/>
        <v>1</v>
      </c>
      <c r="F1848" s="155" cm="1">
        <f t="array" aca="1" ref="F1848" ca="1">IFERROR(_xlfn.STOCKHISTORY("USD/BRL",E1848,E1848,0,0,1),Preços!$C$3)</f>
        <v>6.1798000000000002</v>
      </c>
    </row>
    <row r="1849" spans="5:6" x14ac:dyDescent="0.25">
      <c r="E1849" s="147">
        <f t="shared" si="27"/>
        <v>1</v>
      </c>
      <c r="F1849" s="155" cm="1">
        <f t="array" aca="1" ref="F1849" ca="1">IFERROR(_xlfn.STOCKHISTORY("USD/BRL",E1849,E1849,0,0,1),Preços!$C$3)</f>
        <v>6.1798000000000002</v>
      </c>
    </row>
    <row r="1850" spans="5:6" x14ac:dyDescent="0.25">
      <c r="E1850" s="147">
        <f t="shared" si="27"/>
        <v>1</v>
      </c>
      <c r="F1850" s="155" cm="1">
        <f t="array" aca="1" ref="F1850" ca="1">IFERROR(_xlfn.STOCKHISTORY("USD/BRL",E1850,E1850,0,0,1),Preços!$C$3)</f>
        <v>6.1798000000000002</v>
      </c>
    </row>
    <row r="1851" spans="5:6" x14ac:dyDescent="0.25">
      <c r="E1851" s="147">
        <f t="shared" si="27"/>
        <v>1</v>
      </c>
      <c r="F1851" s="155" cm="1">
        <f t="array" aca="1" ref="F1851" ca="1">IFERROR(_xlfn.STOCKHISTORY("USD/BRL",E1851,E1851,0,0,1),Preços!$C$3)</f>
        <v>6.1798000000000002</v>
      </c>
    </row>
    <row r="1852" spans="5:6" x14ac:dyDescent="0.25">
      <c r="E1852" s="147">
        <f t="shared" si="27"/>
        <v>1</v>
      </c>
      <c r="F1852" s="155" cm="1">
        <f t="array" aca="1" ref="F1852" ca="1">IFERROR(_xlfn.STOCKHISTORY("USD/BRL",E1852,E1852,0,0,1),Preços!$C$3)</f>
        <v>6.1798000000000002</v>
      </c>
    </row>
    <row r="1853" spans="5:6" x14ac:dyDescent="0.25">
      <c r="E1853" s="147">
        <f t="shared" si="27"/>
        <v>1</v>
      </c>
      <c r="F1853" s="155" cm="1">
        <f t="array" aca="1" ref="F1853" ca="1">IFERROR(_xlfn.STOCKHISTORY("USD/BRL",E1853,E1853,0,0,1),Preços!$C$3)</f>
        <v>6.1798000000000002</v>
      </c>
    </row>
    <row r="1854" spans="5:6" x14ac:dyDescent="0.25">
      <c r="E1854" s="147">
        <f t="shared" si="27"/>
        <v>1</v>
      </c>
      <c r="F1854" s="155" cm="1">
        <f t="array" aca="1" ref="F1854" ca="1">IFERROR(_xlfn.STOCKHISTORY("USD/BRL",E1854,E1854,0,0,1),Preços!$C$3)</f>
        <v>6.1798000000000002</v>
      </c>
    </row>
    <row r="1855" spans="5:6" x14ac:dyDescent="0.25">
      <c r="E1855" s="147">
        <f t="shared" si="27"/>
        <v>1</v>
      </c>
      <c r="F1855" s="155" cm="1">
        <f t="array" aca="1" ref="F1855" ca="1">IFERROR(_xlfn.STOCKHISTORY("USD/BRL",E1855,E1855,0,0,1),Preços!$C$3)</f>
        <v>6.1798000000000002</v>
      </c>
    </row>
    <row r="1856" spans="5:6" x14ac:dyDescent="0.25">
      <c r="E1856" s="147">
        <f t="shared" si="27"/>
        <v>1</v>
      </c>
      <c r="F1856" s="155" cm="1">
        <f t="array" aca="1" ref="F1856" ca="1">IFERROR(_xlfn.STOCKHISTORY("USD/BRL",E1856,E1856,0,0,1),Preços!$C$3)</f>
        <v>6.1798000000000002</v>
      </c>
    </row>
    <row r="1857" spans="5:6" x14ac:dyDescent="0.25">
      <c r="E1857" s="147">
        <f t="shared" si="27"/>
        <v>1</v>
      </c>
      <c r="F1857" s="155" cm="1">
        <f t="array" aca="1" ref="F1857" ca="1">IFERROR(_xlfn.STOCKHISTORY("USD/BRL",E1857,E1857,0,0,1),Preços!$C$3)</f>
        <v>6.1798000000000002</v>
      </c>
    </row>
    <row r="1858" spans="5:6" x14ac:dyDescent="0.25">
      <c r="E1858" s="147">
        <f t="shared" si="27"/>
        <v>1</v>
      </c>
      <c r="F1858" s="155" cm="1">
        <f t="array" aca="1" ref="F1858" ca="1">IFERROR(_xlfn.STOCKHISTORY("USD/BRL",E1858,E1858,0,0,1),Preços!$C$3)</f>
        <v>6.1798000000000002</v>
      </c>
    </row>
    <row r="1859" spans="5:6" x14ac:dyDescent="0.25">
      <c r="E1859" s="147">
        <f t="shared" si="27"/>
        <v>1</v>
      </c>
      <c r="F1859" s="155" cm="1">
        <f t="array" aca="1" ref="F1859" ca="1">IFERROR(_xlfn.STOCKHISTORY("USD/BRL",E1859,E1859,0,0,1),Preços!$C$3)</f>
        <v>6.1798000000000002</v>
      </c>
    </row>
    <row r="1860" spans="5:6" x14ac:dyDescent="0.25">
      <c r="E1860" s="147">
        <f t="shared" ref="E1860:E1923" si="28">DATE(YEAR(D1766),MONTH(D1766),1)</f>
        <v>1</v>
      </c>
      <c r="F1860" s="155" cm="1">
        <f t="array" aca="1" ref="F1860" ca="1">IFERROR(_xlfn.STOCKHISTORY("USD/BRL",E1860,E1860,0,0,1),Preços!$C$3)</f>
        <v>6.1798000000000002</v>
      </c>
    </row>
    <row r="1861" spans="5:6" x14ac:dyDescent="0.25">
      <c r="E1861" s="147">
        <f t="shared" si="28"/>
        <v>1</v>
      </c>
      <c r="F1861" s="155" cm="1">
        <f t="array" aca="1" ref="F1861" ca="1">IFERROR(_xlfn.STOCKHISTORY("USD/BRL",E1861,E1861,0,0,1),Preços!$C$3)</f>
        <v>6.1798000000000002</v>
      </c>
    </row>
    <row r="1862" spans="5:6" x14ac:dyDescent="0.25">
      <c r="E1862" s="147">
        <f t="shared" si="28"/>
        <v>1</v>
      </c>
      <c r="F1862" s="155" cm="1">
        <f t="array" aca="1" ref="F1862" ca="1">IFERROR(_xlfn.STOCKHISTORY("USD/BRL",E1862,E1862,0,0,1),Preços!$C$3)</f>
        <v>6.1798000000000002</v>
      </c>
    </row>
    <row r="1863" spans="5:6" x14ac:dyDescent="0.25">
      <c r="E1863" s="147">
        <f t="shared" si="28"/>
        <v>1</v>
      </c>
      <c r="F1863" s="155" cm="1">
        <f t="array" aca="1" ref="F1863" ca="1">IFERROR(_xlfn.STOCKHISTORY("USD/BRL",E1863,E1863,0,0,1),Preços!$C$3)</f>
        <v>6.1798000000000002</v>
      </c>
    </row>
    <row r="1864" spans="5:6" x14ac:dyDescent="0.25">
      <c r="E1864" s="147">
        <f t="shared" si="28"/>
        <v>1</v>
      </c>
      <c r="F1864" s="155" cm="1">
        <f t="array" aca="1" ref="F1864" ca="1">IFERROR(_xlfn.STOCKHISTORY("USD/BRL",E1864,E1864,0,0,1),Preços!$C$3)</f>
        <v>6.1798000000000002</v>
      </c>
    </row>
    <row r="1865" spans="5:6" x14ac:dyDescent="0.25">
      <c r="E1865" s="147">
        <f t="shared" si="28"/>
        <v>1</v>
      </c>
      <c r="F1865" s="155" cm="1">
        <f t="array" aca="1" ref="F1865" ca="1">IFERROR(_xlfn.STOCKHISTORY("USD/BRL",E1865,E1865,0,0,1),Preços!$C$3)</f>
        <v>6.1798000000000002</v>
      </c>
    </row>
    <row r="1866" spans="5:6" x14ac:dyDescent="0.25">
      <c r="E1866" s="147">
        <f t="shared" si="28"/>
        <v>1</v>
      </c>
      <c r="F1866" s="155" cm="1">
        <f t="array" aca="1" ref="F1866" ca="1">IFERROR(_xlfn.STOCKHISTORY("USD/BRL",E1866,E1866,0,0,1),Preços!$C$3)</f>
        <v>6.1798000000000002</v>
      </c>
    </row>
    <row r="1867" spans="5:6" x14ac:dyDescent="0.25">
      <c r="E1867" s="147">
        <f t="shared" si="28"/>
        <v>1</v>
      </c>
      <c r="F1867" s="155" cm="1">
        <f t="array" aca="1" ref="F1867" ca="1">IFERROR(_xlfn.STOCKHISTORY("USD/BRL",E1867,E1867,0,0,1),Preços!$C$3)</f>
        <v>6.1798000000000002</v>
      </c>
    </row>
    <row r="1868" spans="5:6" x14ac:dyDescent="0.25">
      <c r="E1868" s="147">
        <f t="shared" si="28"/>
        <v>1</v>
      </c>
      <c r="F1868" s="155" cm="1">
        <f t="array" aca="1" ref="F1868" ca="1">IFERROR(_xlfn.STOCKHISTORY("USD/BRL",E1868,E1868,0,0,1),Preços!$C$3)</f>
        <v>6.1798000000000002</v>
      </c>
    </row>
    <row r="1869" spans="5:6" x14ac:dyDescent="0.25">
      <c r="E1869" s="147">
        <f t="shared" si="28"/>
        <v>1</v>
      </c>
      <c r="F1869" s="155" cm="1">
        <f t="array" aca="1" ref="F1869" ca="1">IFERROR(_xlfn.STOCKHISTORY("USD/BRL",E1869,E1869,0,0,1),Preços!$C$3)</f>
        <v>6.1798000000000002</v>
      </c>
    </row>
    <row r="1870" spans="5:6" x14ac:dyDescent="0.25">
      <c r="E1870" s="147">
        <f t="shared" si="28"/>
        <v>1</v>
      </c>
      <c r="F1870" s="155" cm="1">
        <f t="array" aca="1" ref="F1870" ca="1">IFERROR(_xlfn.STOCKHISTORY("USD/BRL",E1870,E1870,0,0,1),Preços!$C$3)</f>
        <v>6.1798000000000002</v>
      </c>
    </row>
    <row r="1871" spans="5:6" x14ac:dyDescent="0.25">
      <c r="E1871" s="147">
        <f t="shared" si="28"/>
        <v>1</v>
      </c>
      <c r="F1871" s="155" cm="1">
        <f t="array" aca="1" ref="F1871" ca="1">IFERROR(_xlfn.STOCKHISTORY("USD/BRL",E1871,E1871,0,0,1),Preços!$C$3)</f>
        <v>6.1798000000000002</v>
      </c>
    </row>
    <row r="1872" spans="5:6" x14ac:dyDescent="0.25">
      <c r="E1872" s="147">
        <f t="shared" si="28"/>
        <v>1</v>
      </c>
      <c r="F1872" s="155" cm="1">
        <f t="array" aca="1" ref="F1872" ca="1">IFERROR(_xlfn.STOCKHISTORY("USD/BRL",E1872,E1872,0,0,1),Preços!$C$3)</f>
        <v>6.1798000000000002</v>
      </c>
    </row>
    <row r="1873" spans="5:6" x14ac:dyDescent="0.25">
      <c r="E1873" s="147">
        <f t="shared" si="28"/>
        <v>1</v>
      </c>
      <c r="F1873" s="155" cm="1">
        <f t="array" aca="1" ref="F1873" ca="1">IFERROR(_xlfn.STOCKHISTORY("USD/BRL",E1873,E1873,0,0,1),Preços!$C$3)</f>
        <v>6.1798000000000002</v>
      </c>
    </row>
    <row r="1874" spans="5:6" x14ac:dyDescent="0.25">
      <c r="E1874" s="147">
        <f t="shared" si="28"/>
        <v>1</v>
      </c>
      <c r="F1874" s="155" cm="1">
        <f t="array" aca="1" ref="F1874" ca="1">IFERROR(_xlfn.STOCKHISTORY("USD/BRL",E1874,E1874,0,0,1),Preços!$C$3)</f>
        <v>6.1798000000000002</v>
      </c>
    </row>
    <row r="1875" spans="5:6" x14ac:dyDescent="0.25">
      <c r="E1875" s="147">
        <f t="shared" si="28"/>
        <v>1</v>
      </c>
      <c r="F1875" s="155" cm="1">
        <f t="array" aca="1" ref="F1875" ca="1">IFERROR(_xlfn.STOCKHISTORY("USD/BRL",E1875,E1875,0,0,1),Preços!$C$3)</f>
        <v>6.1798000000000002</v>
      </c>
    </row>
    <row r="1876" spans="5:6" x14ac:dyDescent="0.25">
      <c r="E1876" s="147">
        <f t="shared" si="28"/>
        <v>1</v>
      </c>
      <c r="F1876" s="155" cm="1">
        <f t="array" aca="1" ref="F1876" ca="1">IFERROR(_xlfn.STOCKHISTORY("USD/BRL",E1876,E1876,0,0,1),Preços!$C$3)</f>
        <v>6.1798000000000002</v>
      </c>
    </row>
    <row r="1877" spans="5:6" x14ac:dyDescent="0.25">
      <c r="E1877" s="147">
        <f t="shared" si="28"/>
        <v>1</v>
      </c>
      <c r="F1877" s="155" cm="1">
        <f t="array" aca="1" ref="F1877" ca="1">IFERROR(_xlfn.STOCKHISTORY("USD/BRL",E1877,E1877,0,0,1),Preços!$C$3)</f>
        <v>6.1798000000000002</v>
      </c>
    </row>
    <row r="1878" spans="5:6" x14ac:dyDescent="0.25">
      <c r="E1878" s="147">
        <f t="shared" si="28"/>
        <v>1</v>
      </c>
      <c r="F1878" s="155" cm="1">
        <f t="array" aca="1" ref="F1878" ca="1">IFERROR(_xlfn.STOCKHISTORY("USD/BRL",E1878,E1878,0,0,1),Preços!$C$3)</f>
        <v>6.1798000000000002</v>
      </c>
    </row>
    <row r="1879" spans="5:6" x14ac:dyDescent="0.25">
      <c r="E1879" s="147">
        <f t="shared" si="28"/>
        <v>1</v>
      </c>
      <c r="F1879" s="155" cm="1">
        <f t="array" aca="1" ref="F1879" ca="1">IFERROR(_xlfn.STOCKHISTORY("USD/BRL",E1879,E1879,0,0,1),Preços!$C$3)</f>
        <v>6.1798000000000002</v>
      </c>
    </row>
    <row r="1880" spans="5:6" x14ac:dyDescent="0.25">
      <c r="E1880" s="147">
        <f t="shared" si="28"/>
        <v>1</v>
      </c>
      <c r="F1880" s="155" cm="1">
        <f t="array" aca="1" ref="F1880" ca="1">IFERROR(_xlfn.STOCKHISTORY("USD/BRL",E1880,E1880,0,0,1),Preços!$C$3)</f>
        <v>6.1798000000000002</v>
      </c>
    </row>
    <row r="1881" spans="5:6" x14ac:dyDescent="0.25">
      <c r="E1881" s="147">
        <f t="shared" si="28"/>
        <v>1</v>
      </c>
      <c r="F1881" s="155" cm="1">
        <f t="array" aca="1" ref="F1881" ca="1">IFERROR(_xlfn.STOCKHISTORY("USD/BRL",E1881,E1881,0,0,1),Preços!$C$3)</f>
        <v>6.1798000000000002</v>
      </c>
    </row>
    <row r="1882" spans="5:6" x14ac:dyDescent="0.25">
      <c r="E1882" s="147">
        <f t="shared" si="28"/>
        <v>1</v>
      </c>
      <c r="F1882" s="155" cm="1">
        <f t="array" aca="1" ref="F1882" ca="1">IFERROR(_xlfn.STOCKHISTORY("USD/BRL",E1882,E1882,0,0,1),Preços!$C$3)</f>
        <v>6.1798000000000002</v>
      </c>
    </row>
    <row r="1883" spans="5:6" x14ac:dyDescent="0.25">
      <c r="E1883" s="147">
        <f t="shared" si="28"/>
        <v>1</v>
      </c>
      <c r="F1883" s="155" cm="1">
        <f t="array" aca="1" ref="F1883" ca="1">IFERROR(_xlfn.STOCKHISTORY("USD/BRL",E1883,E1883,0,0,1),Preços!$C$3)</f>
        <v>6.1798000000000002</v>
      </c>
    </row>
    <row r="1884" spans="5:6" x14ac:dyDescent="0.25">
      <c r="E1884" s="147">
        <f t="shared" si="28"/>
        <v>1</v>
      </c>
      <c r="F1884" s="155" cm="1">
        <f t="array" aca="1" ref="F1884" ca="1">IFERROR(_xlfn.STOCKHISTORY("USD/BRL",E1884,E1884,0,0,1),Preços!$C$3)</f>
        <v>6.1798000000000002</v>
      </c>
    </row>
    <row r="1885" spans="5:6" x14ac:dyDescent="0.25">
      <c r="E1885" s="147">
        <f t="shared" si="28"/>
        <v>1</v>
      </c>
      <c r="F1885" s="155" cm="1">
        <f t="array" aca="1" ref="F1885" ca="1">IFERROR(_xlfn.STOCKHISTORY("USD/BRL",E1885,E1885,0,0,1),Preços!$C$3)</f>
        <v>6.1798000000000002</v>
      </c>
    </row>
    <row r="1886" spans="5:6" x14ac:dyDescent="0.25">
      <c r="E1886" s="147">
        <f t="shared" si="28"/>
        <v>1</v>
      </c>
      <c r="F1886" s="155" cm="1">
        <f t="array" aca="1" ref="F1886" ca="1">IFERROR(_xlfn.STOCKHISTORY("USD/BRL",E1886,E1886,0,0,1),Preços!$C$3)</f>
        <v>6.1798000000000002</v>
      </c>
    </row>
    <row r="1887" spans="5:6" x14ac:dyDescent="0.25">
      <c r="E1887" s="147">
        <f t="shared" si="28"/>
        <v>1</v>
      </c>
      <c r="F1887" s="155" cm="1">
        <f t="array" aca="1" ref="F1887" ca="1">IFERROR(_xlfn.STOCKHISTORY("USD/BRL",E1887,E1887,0,0,1),Preços!$C$3)</f>
        <v>6.1798000000000002</v>
      </c>
    </row>
    <row r="1888" spans="5:6" x14ac:dyDescent="0.25">
      <c r="E1888" s="147">
        <f t="shared" si="28"/>
        <v>1</v>
      </c>
      <c r="F1888" s="155" cm="1">
        <f t="array" aca="1" ref="F1888" ca="1">IFERROR(_xlfn.STOCKHISTORY("USD/BRL",E1888,E1888,0,0,1),Preços!$C$3)</f>
        <v>6.1798000000000002</v>
      </c>
    </row>
    <row r="1889" spans="5:6" x14ac:dyDescent="0.25">
      <c r="E1889" s="147">
        <f t="shared" si="28"/>
        <v>1</v>
      </c>
      <c r="F1889" s="155" cm="1">
        <f t="array" aca="1" ref="F1889" ca="1">IFERROR(_xlfn.STOCKHISTORY("USD/BRL",E1889,E1889,0,0,1),Preços!$C$3)</f>
        <v>6.1798000000000002</v>
      </c>
    </row>
    <row r="1890" spans="5:6" x14ac:dyDescent="0.25">
      <c r="E1890" s="147">
        <f t="shared" si="28"/>
        <v>1</v>
      </c>
      <c r="F1890" s="155" cm="1">
        <f t="array" aca="1" ref="F1890" ca="1">IFERROR(_xlfn.STOCKHISTORY("USD/BRL",E1890,E1890,0,0,1),Preços!$C$3)</f>
        <v>6.1798000000000002</v>
      </c>
    </row>
    <row r="1891" spans="5:6" x14ac:dyDescent="0.25">
      <c r="E1891" s="147">
        <f t="shared" si="28"/>
        <v>1</v>
      </c>
      <c r="F1891" s="155" cm="1">
        <f t="array" aca="1" ref="F1891" ca="1">IFERROR(_xlfn.STOCKHISTORY("USD/BRL",E1891,E1891,0,0,1),Preços!$C$3)</f>
        <v>6.1798000000000002</v>
      </c>
    </row>
    <row r="1892" spans="5:6" x14ac:dyDescent="0.25">
      <c r="E1892" s="147">
        <f t="shared" si="28"/>
        <v>1</v>
      </c>
      <c r="F1892" s="155" cm="1">
        <f t="array" aca="1" ref="F1892" ca="1">IFERROR(_xlfn.STOCKHISTORY("USD/BRL",E1892,E1892,0,0,1),Preços!$C$3)</f>
        <v>6.1798000000000002</v>
      </c>
    </row>
    <row r="1893" spans="5:6" x14ac:dyDescent="0.25">
      <c r="E1893" s="147">
        <f t="shared" si="28"/>
        <v>1</v>
      </c>
      <c r="F1893" s="155" cm="1">
        <f t="array" aca="1" ref="F1893" ca="1">IFERROR(_xlfn.STOCKHISTORY("USD/BRL",E1893,E1893,0,0,1),Preços!$C$3)</f>
        <v>6.1798000000000002</v>
      </c>
    </row>
    <row r="1894" spans="5:6" x14ac:dyDescent="0.25">
      <c r="E1894" s="147">
        <f t="shared" si="28"/>
        <v>1</v>
      </c>
      <c r="F1894" s="155" cm="1">
        <f t="array" aca="1" ref="F1894" ca="1">IFERROR(_xlfn.STOCKHISTORY("USD/BRL",E1894,E1894,0,0,1),Preços!$C$3)</f>
        <v>6.1798000000000002</v>
      </c>
    </row>
    <row r="1895" spans="5:6" x14ac:dyDescent="0.25">
      <c r="E1895" s="147">
        <f t="shared" si="28"/>
        <v>1</v>
      </c>
      <c r="F1895" s="155" cm="1">
        <f t="array" aca="1" ref="F1895" ca="1">IFERROR(_xlfn.STOCKHISTORY("USD/BRL",E1895,E1895,0,0,1),Preços!$C$3)</f>
        <v>6.1798000000000002</v>
      </c>
    </row>
    <row r="1896" spans="5:6" x14ac:dyDescent="0.25">
      <c r="E1896" s="147">
        <f t="shared" si="28"/>
        <v>1</v>
      </c>
      <c r="F1896" s="155" cm="1">
        <f t="array" aca="1" ref="F1896" ca="1">IFERROR(_xlfn.STOCKHISTORY("USD/BRL",E1896,E1896,0,0,1),Preços!$C$3)</f>
        <v>6.1798000000000002</v>
      </c>
    </row>
    <row r="1897" spans="5:6" x14ac:dyDescent="0.25">
      <c r="E1897" s="147">
        <f t="shared" si="28"/>
        <v>1</v>
      </c>
      <c r="F1897" s="155" cm="1">
        <f t="array" aca="1" ref="F1897" ca="1">IFERROR(_xlfn.STOCKHISTORY("USD/BRL",E1897,E1897,0,0,1),Preços!$C$3)</f>
        <v>6.1798000000000002</v>
      </c>
    </row>
    <row r="1898" spans="5:6" x14ac:dyDescent="0.25">
      <c r="E1898" s="147">
        <f t="shared" si="28"/>
        <v>1</v>
      </c>
      <c r="F1898" s="155" cm="1">
        <f t="array" aca="1" ref="F1898" ca="1">IFERROR(_xlfn.STOCKHISTORY("USD/BRL",E1898,E1898,0,0,1),Preços!$C$3)</f>
        <v>6.1798000000000002</v>
      </c>
    </row>
    <row r="1899" spans="5:6" x14ac:dyDescent="0.25">
      <c r="E1899" s="147">
        <f t="shared" si="28"/>
        <v>1</v>
      </c>
      <c r="F1899" s="155" cm="1">
        <f t="array" aca="1" ref="F1899" ca="1">IFERROR(_xlfn.STOCKHISTORY("USD/BRL",E1899,E1899,0,0,1),Preços!$C$3)</f>
        <v>6.1798000000000002</v>
      </c>
    </row>
    <row r="1900" spans="5:6" x14ac:dyDescent="0.25">
      <c r="E1900" s="147">
        <f t="shared" si="28"/>
        <v>1</v>
      </c>
      <c r="F1900" s="155" cm="1">
        <f t="array" aca="1" ref="F1900" ca="1">IFERROR(_xlfn.STOCKHISTORY("USD/BRL",E1900,E1900,0,0,1),Preços!$C$3)</f>
        <v>6.1798000000000002</v>
      </c>
    </row>
    <row r="1901" spans="5:6" x14ac:dyDescent="0.25">
      <c r="E1901" s="147">
        <f t="shared" si="28"/>
        <v>1</v>
      </c>
      <c r="F1901" s="155" cm="1">
        <f t="array" aca="1" ref="F1901" ca="1">IFERROR(_xlfn.STOCKHISTORY("USD/BRL",E1901,E1901,0,0,1),Preços!$C$3)</f>
        <v>6.1798000000000002</v>
      </c>
    </row>
    <row r="1902" spans="5:6" x14ac:dyDescent="0.25">
      <c r="E1902" s="147">
        <f t="shared" si="28"/>
        <v>1</v>
      </c>
      <c r="F1902" s="155" cm="1">
        <f t="array" aca="1" ref="F1902" ca="1">IFERROR(_xlfn.STOCKHISTORY("USD/BRL",E1902,E1902,0,0,1),Preços!$C$3)</f>
        <v>6.1798000000000002</v>
      </c>
    </row>
    <row r="1903" spans="5:6" x14ac:dyDescent="0.25">
      <c r="E1903" s="147">
        <f t="shared" si="28"/>
        <v>1</v>
      </c>
      <c r="F1903" s="155" cm="1">
        <f t="array" aca="1" ref="F1903" ca="1">IFERROR(_xlfn.STOCKHISTORY("USD/BRL",E1903,E1903,0,0,1),Preços!$C$3)</f>
        <v>6.1798000000000002</v>
      </c>
    </row>
    <row r="1904" spans="5:6" x14ac:dyDescent="0.25">
      <c r="E1904" s="147">
        <f t="shared" si="28"/>
        <v>1</v>
      </c>
      <c r="F1904" s="155" cm="1">
        <f t="array" aca="1" ref="F1904" ca="1">IFERROR(_xlfn.STOCKHISTORY("USD/BRL",E1904,E1904,0,0,1),Preços!$C$3)</f>
        <v>6.1798000000000002</v>
      </c>
    </row>
    <row r="1905" spans="5:6" x14ac:dyDescent="0.25">
      <c r="E1905" s="147">
        <f t="shared" si="28"/>
        <v>1</v>
      </c>
      <c r="F1905" s="155" cm="1">
        <f t="array" aca="1" ref="F1905" ca="1">IFERROR(_xlfn.STOCKHISTORY("USD/BRL",E1905,E1905,0,0,1),Preços!$C$3)</f>
        <v>6.1798000000000002</v>
      </c>
    </row>
    <row r="1906" spans="5:6" x14ac:dyDescent="0.25">
      <c r="E1906" s="147">
        <f t="shared" si="28"/>
        <v>1</v>
      </c>
      <c r="F1906" s="155" cm="1">
        <f t="array" aca="1" ref="F1906" ca="1">IFERROR(_xlfn.STOCKHISTORY("USD/BRL",E1906,E1906,0,0,1),Preços!$C$3)</f>
        <v>6.1798000000000002</v>
      </c>
    </row>
    <row r="1907" spans="5:6" x14ac:dyDescent="0.25">
      <c r="E1907" s="147">
        <f t="shared" si="28"/>
        <v>1</v>
      </c>
      <c r="F1907" s="155" cm="1">
        <f t="array" aca="1" ref="F1907" ca="1">IFERROR(_xlfn.STOCKHISTORY("USD/BRL",E1907,E1907,0,0,1),Preços!$C$3)</f>
        <v>6.1798000000000002</v>
      </c>
    </row>
    <row r="1908" spans="5:6" x14ac:dyDescent="0.25">
      <c r="E1908" s="147">
        <f t="shared" si="28"/>
        <v>1</v>
      </c>
      <c r="F1908" s="155" cm="1">
        <f t="array" aca="1" ref="F1908" ca="1">IFERROR(_xlfn.STOCKHISTORY("USD/BRL",E1908,E1908,0,0,1),Preços!$C$3)</f>
        <v>6.1798000000000002</v>
      </c>
    </row>
    <row r="1909" spans="5:6" x14ac:dyDescent="0.25">
      <c r="E1909" s="147">
        <f t="shared" si="28"/>
        <v>1</v>
      </c>
      <c r="F1909" s="155" cm="1">
        <f t="array" aca="1" ref="F1909" ca="1">IFERROR(_xlfn.STOCKHISTORY("USD/BRL",E1909,E1909,0,0,1),Preços!$C$3)</f>
        <v>6.1798000000000002</v>
      </c>
    </row>
    <row r="1910" spans="5:6" x14ac:dyDescent="0.25">
      <c r="E1910" s="147">
        <f t="shared" si="28"/>
        <v>1</v>
      </c>
      <c r="F1910" s="155" cm="1">
        <f t="array" aca="1" ref="F1910" ca="1">IFERROR(_xlfn.STOCKHISTORY("USD/BRL",E1910,E1910,0,0,1),Preços!$C$3)</f>
        <v>6.1798000000000002</v>
      </c>
    </row>
    <row r="1911" spans="5:6" x14ac:dyDescent="0.25">
      <c r="E1911" s="147">
        <f t="shared" si="28"/>
        <v>1</v>
      </c>
      <c r="F1911" s="155" cm="1">
        <f t="array" aca="1" ref="F1911" ca="1">IFERROR(_xlfn.STOCKHISTORY("USD/BRL",E1911,E1911,0,0,1),Preços!$C$3)</f>
        <v>6.1798000000000002</v>
      </c>
    </row>
    <row r="1912" spans="5:6" x14ac:dyDescent="0.25">
      <c r="E1912" s="147">
        <f t="shared" si="28"/>
        <v>1</v>
      </c>
      <c r="F1912" s="155" cm="1">
        <f t="array" aca="1" ref="F1912" ca="1">IFERROR(_xlfn.STOCKHISTORY("USD/BRL",E1912,E1912,0,0,1),Preços!$C$3)</f>
        <v>6.1798000000000002</v>
      </c>
    </row>
    <row r="1913" spans="5:6" x14ac:dyDescent="0.25">
      <c r="E1913" s="147">
        <f t="shared" si="28"/>
        <v>1</v>
      </c>
      <c r="F1913" s="155" cm="1">
        <f t="array" aca="1" ref="F1913" ca="1">IFERROR(_xlfn.STOCKHISTORY("USD/BRL",E1913,E1913,0,0,1),Preços!$C$3)</f>
        <v>6.1798000000000002</v>
      </c>
    </row>
    <row r="1914" spans="5:6" x14ac:dyDescent="0.25">
      <c r="E1914" s="147">
        <f t="shared" si="28"/>
        <v>1</v>
      </c>
      <c r="F1914" s="155" cm="1">
        <f t="array" aca="1" ref="F1914" ca="1">IFERROR(_xlfn.STOCKHISTORY("USD/BRL",E1914,E1914,0,0,1),Preços!$C$3)</f>
        <v>6.1798000000000002</v>
      </c>
    </row>
    <row r="1915" spans="5:6" x14ac:dyDescent="0.25">
      <c r="E1915" s="147">
        <f t="shared" si="28"/>
        <v>1</v>
      </c>
      <c r="F1915" s="155" cm="1">
        <f t="array" aca="1" ref="F1915" ca="1">IFERROR(_xlfn.STOCKHISTORY("USD/BRL",E1915,E1915,0,0,1),Preços!$C$3)</f>
        <v>6.1798000000000002</v>
      </c>
    </row>
    <row r="1916" spans="5:6" x14ac:dyDescent="0.25">
      <c r="E1916" s="147">
        <f t="shared" si="28"/>
        <v>1</v>
      </c>
      <c r="F1916" s="155" cm="1">
        <f t="array" aca="1" ref="F1916" ca="1">IFERROR(_xlfn.STOCKHISTORY("USD/BRL",E1916,E1916,0,0,1),Preços!$C$3)</f>
        <v>6.1798000000000002</v>
      </c>
    </row>
    <row r="1917" spans="5:6" x14ac:dyDescent="0.25">
      <c r="E1917" s="147">
        <f t="shared" si="28"/>
        <v>1</v>
      </c>
      <c r="F1917" s="155" cm="1">
        <f t="array" aca="1" ref="F1917" ca="1">IFERROR(_xlfn.STOCKHISTORY("USD/BRL",E1917,E1917,0,0,1),Preços!$C$3)</f>
        <v>6.1798000000000002</v>
      </c>
    </row>
    <row r="1918" spans="5:6" x14ac:dyDescent="0.25">
      <c r="E1918" s="147">
        <f t="shared" si="28"/>
        <v>1</v>
      </c>
      <c r="F1918" s="155" cm="1">
        <f t="array" aca="1" ref="F1918" ca="1">IFERROR(_xlfn.STOCKHISTORY("USD/BRL",E1918,E1918,0,0,1),Preços!$C$3)</f>
        <v>6.1798000000000002</v>
      </c>
    </row>
    <row r="1919" spans="5:6" x14ac:dyDescent="0.25">
      <c r="E1919" s="147">
        <f t="shared" si="28"/>
        <v>1</v>
      </c>
      <c r="F1919" s="155" cm="1">
        <f t="array" aca="1" ref="F1919" ca="1">IFERROR(_xlfn.STOCKHISTORY("USD/BRL",E1919,E1919,0,0,1),Preços!$C$3)</f>
        <v>6.1798000000000002</v>
      </c>
    </row>
    <row r="1920" spans="5:6" x14ac:dyDescent="0.25">
      <c r="E1920" s="147">
        <f t="shared" si="28"/>
        <v>1</v>
      </c>
      <c r="F1920" s="155" cm="1">
        <f t="array" aca="1" ref="F1920" ca="1">IFERROR(_xlfn.STOCKHISTORY("USD/BRL",E1920,E1920,0,0,1),Preços!$C$3)</f>
        <v>6.1798000000000002</v>
      </c>
    </row>
    <row r="1921" spans="5:6" x14ac:dyDescent="0.25">
      <c r="E1921" s="147">
        <f t="shared" si="28"/>
        <v>1</v>
      </c>
      <c r="F1921" s="155" cm="1">
        <f t="array" aca="1" ref="F1921" ca="1">IFERROR(_xlfn.STOCKHISTORY("USD/BRL",E1921,E1921,0,0,1),Preços!$C$3)</f>
        <v>6.1798000000000002</v>
      </c>
    </row>
    <row r="1922" spans="5:6" x14ac:dyDescent="0.25">
      <c r="E1922" s="147">
        <f t="shared" si="28"/>
        <v>1</v>
      </c>
      <c r="F1922" s="155" cm="1">
        <f t="array" aca="1" ref="F1922" ca="1">IFERROR(_xlfn.STOCKHISTORY("USD/BRL",E1922,E1922,0,0,1),Preços!$C$3)</f>
        <v>6.1798000000000002</v>
      </c>
    </row>
    <row r="1923" spans="5:6" x14ac:dyDescent="0.25">
      <c r="E1923" s="147">
        <f t="shared" si="28"/>
        <v>1</v>
      </c>
      <c r="F1923" s="155" cm="1">
        <f t="array" aca="1" ref="F1923" ca="1">IFERROR(_xlfn.STOCKHISTORY("USD/BRL",E1923,E1923,0,0,1),Preços!$C$3)</f>
        <v>6.1798000000000002</v>
      </c>
    </row>
    <row r="1924" spans="5:6" x14ac:dyDescent="0.25">
      <c r="E1924" s="147">
        <f t="shared" ref="E1924:E1987" si="29">DATE(YEAR(D1830),MONTH(D1830),1)</f>
        <v>1</v>
      </c>
      <c r="F1924" s="155" cm="1">
        <f t="array" aca="1" ref="F1924" ca="1">IFERROR(_xlfn.STOCKHISTORY("USD/BRL",E1924,E1924,0,0,1),Preços!$C$3)</f>
        <v>6.1798000000000002</v>
      </c>
    </row>
    <row r="1925" spans="5:6" x14ac:dyDescent="0.25">
      <c r="E1925" s="147">
        <f t="shared" si="29"/>
        <v>1</v>
      </c>
      <c r="F1925" s="155" cm="1">
        <f t="array" aca="1" ref="F1925" ca="1">IFERROR(_xlfn.STOCKHISTORY("USD/BRL",E1925,E1925,0,0,1),Preços!$C$3)</f>
        <v>6.1798000000000002</v>
      </c>
    </row>
    <row r="1926" spans="5:6" x14ac:dyDescent="0.25">
      <c r="E1926" s="147">
        <f t="shared" si="29"/>
        <v>1</v>
      </c>
      <c r="F1926" s="155" cm="1">
        <f t="array" aca="1" ref="F1926" ca="1">IFERROR(_xlfn.STOCKHISTORY("USD/BRL",E1926,E1926,0,0,1),Preços!$C$3)</f>
        <v>6.1798000000000002</v>
      </c>
    </row>
    <row r="1927" spans="5:6" x14ac:dyDescent="0.25">
      <c r="E1927" s="147">
        <f t="shared" si="29"/>
        <v>1</v>
      </c>
      <c r="F1927" s="155" cm="1">
        <f t="array" aca="1" ref="F1927" ca="1">IFERROR(_xlfn.STOCKHISTORY("USD/BRL",E1927,E1927,0,0,1),Preços!$C$3)</f>
        <v>6.1798000000000002</v>
      </c>
    </row>
    <row r="1928" spans="5:6" x14ac:dyDescent="0.25">
      <c r="E1928" s="147">
        <f t="shared" si="29"/>
        <v>1</v>
      </c>
      <c r="F1928" s="155" cm="1">
        <f t="array" aca="1" ref="F1928" ca="1">IFERROR(_xlfn.STOCKHISTORY("USD/BRL",E1928,E1928,0,0,1),Preços!$C$3)</f>
        <v>6.1798000000000002</v>
      </c>
    </row>
    <row r="1929" spans="5:6" x14ac:dyDescent="0.25">
      <c r="E1929" s="147">
        <f t="shared" si="29"/>
        <v>1</v>
      </c>
      <c r="F1929" s="155" cm="1">
        <f t="array" aca="1" ref="F1929" ca="1">IFERROR(_xlfn.STOCKHISTORY("USD/BRL",E1929,E1929,0,0,1),Preços!$C$3)</f>
        <v>6.1798000000000002</v>
      </c>
    </row>
    <row r="1930" spans="5:6" x14ac:dyDescent="0.25">
      <c r="E1930" s="147">
        <f t="shared" si="29"/>
        <v>1</v>
      </c>
      <c r="F1930" s="155" cm="1">
        <f t="array" aca="1" ref="F1930" ca="1">IFERROR(_xlfn.STOCKHISTORY("USD/BRL",E1930,E1930,0,0,1),Preços!$C$3)</f>
        <v>6.1798000000000002</v>
      </c>
    </row>
    <row r="1931" spans="5:6" x14ac:dyDescent="0.25">
      <c r="E1931" s="147">
        <f t="shared" si="29"/>
        <v>1</v>
      </c>
      <c r="F1931" s="155" cm="1">
        <f t="array" aca="1" ref="F1931" ca="1">IFERROR(_xlfn.STOCKHISTORY("USD/BRL",E1931,E1931,0,0,1),Preços!$C$3)</f>
        <v>6.1798000000000002</v>
      </c>
    </row>
    <row r="1932" spans="5:6" x14ac:dyDescent="0.25">
      <c r="E1932" s="147">
        <f t="shared" si="29"/>
        <v>1</v>
      </c>
      <c r="F1932" s="155" cm="1">
        <f t="array" aca="1" ref="F1932" ca="1">IFERROR(_xlfn.STOCKHISTORY("USD/BRL",E1932,E1932,0,0,1),Preços!$C$3)</f>
        <v>6.1798000000000002</v>
      </c>
    </row>
    <row r="1933" spans="5:6" x14ac:dyDescent="0.25">
      <c r="E1933" s="147">
        <f t="shared" si="29"/>
        <v>1</v>
      </c>
      <c r="F1933" s="155" cm="1">
        <f t="array" aca="1" ref="F1933" ca="1">IFERROR(_xlfn.STOCKHISTORY("USD/BRL",E1933,E1933,0,0,1),Preços!$C$3)</f>
        <v>6.1798000000000002</v>
      </c>
    </row>
    <row r="1934" spans="5:6" x14ac:dyDescent="0.25">
      <c r="E1934" s="147">
        <f t="shared" si="29"/>
        <v>1</v>
      </c>
      <c r="F1934" s="155" cm="1">
        <f t="array" aca="1" ref="F1934" ca="1">IFERROR(_xlfn.STOCKHISTORY("USD/BRL",E1934,E1934,0,0,1),Preços!$C$3)</f>
        <v>6.1798000000000002</v>
      </c>
    </row>
    <row r="1935" spans="5:6" x14ac:dyDescent="0.25">
      <c r="E1935" s="147">
        <f t="shared" si="29"/>
        <v>1</v>
      </c>
      <c r="F1935" s="155" cm="1">
        <f t="array" aca="1" ref="F1935" ca="1">IFERROR(_xlfn.STOCKHISTORY("USD/BRL",E1935,E1935,0,0,1),Preços!$C$3)</f>
        <v>6.1798000000000002</v>
      </c>
    </row>
    <row r="1936" spans="5:6" x14ac:dyDescent="0.25">
      <c r="E1936" s="147">
        <f t="shared" si="29"/>
        <v>1</v>
      </c>
      <c r="F1936" s="155" cm="1">
        <f t="array" aca="1" ref="F1936" ca="1">IFERROR(_xlfn.STOCKHISTORY("USD/BRL",E1936,E1936,0,0,1),Preços!$C$3)</f>
        <v>6.1798000000000002</v>
      </c>
    </row>
    <row r="1937" spans="5:6" x14ac:dyDescent="0.25">
      <c r="E1937" s="147">
        <f t="shared" si="29"/>
        <v>1</v>
      </c>
      <c r="F1937" s="155" cm="1">
        <f t="array" aca="1" ref="F1937" ca="1">IFERROR(_xlfn.STOCKHISTORY("USD/BRL",E1937,E1937,0,0,1),Preços!$C$3)</f>
        <v>6.1798000000000002</v>
      </c>
    </row>
    <row r="1938" spans="5:6" x14ac:dyDescent="0.25">
      <c r="E1938" s="147">
        <f t="shared" si="29"/>
        <v>1</v>
      </c>
      <c r="F1938" s="155" cm="1">
        <f t="array" aca="1" ref="F1938" ca="1">IFERROR(_xlfn.STOCKHISTORY("USD/BRL",E1938,E1938,0,0,1),Preços!$C$3)</f>
        <v>6.1798000000000002</v>
      </c>
    </row>
    <row r="1939" spans="5:6" x14ac:dyDescent="0.25">
      <c r="E1939" s="147">
        <f t="shared" si="29"/>
        <v>1</v>
      </c>
      <c r="F1939" s="155" cm="1">
        <f t="array" aca="1" ref="F1939" ca="1">IFERROR(_xlfn.STOCKHISTORY("USD/BRL",E1939,E1939,0,0,1),Preços!$C$3)</f>
        <v>6.1798000000000002</v>
      </c>
    </row>
    <row r="1940" spans="5:6" x14ac:dyDescent="0.25">
      <c r="E1940" s="147">
        <f t="shared" si="29"/>
        <v>1</v>
      </c>
      <c r="F1940" s="155" cm="1">
        <f t="array" aca="1" ref="F1940" ca="1">IFERROR(_xlfn.STOCKHISTORY("USD/BRL",E1940,E1940,0,0,1),Preços!$C$3)</f>
        <v>6.1798000000000002</v>
      </c>
    </row>
    <row r="1941" spans="5:6" x14ac:dyDescent="0.25">
      <c r="E1941" s="147">
        <f t="shared" si="29"/>
        <v>1</v>
      </c>
      <c r="F1941" s="155" cm="1">
        <f t="array" aca="1" ref="F1941" ca="1">IFERROR(_xlfn.STOCKHISTORY("USD/BRL",E1941,E1941,0,0,1),Preços!$C$3)</f>
        <v>6.1798000000000002</v>
      </c>
    </row>
    <row r="1942" spans="5:6" x14ac:dyDescent="0.25">
      <c r="E1942" s="147">
        <f t="shared" si="29"/>
        <v>1</v>
      </c>
      <c r="F1942" s="155" cm="1">
        <f t="array" aca="1" ref="F1942" ca="1">IFERROR(_xlfn.STOCKHISTORY("USD/BRL",E1942,E1942,0,0,1),Preços!$C$3)</f>
        <v>6.1798000000000002</v>
      </c>
    </row>
    <row r="1943" spans="5:6" x14ac:dyDescent="0.25">
      <c r="E1943" s="147">
        <f t="shared" si="29"/>
        <v>1</v>
      </c>
      <c r="F1943" s="155" cm="1">
        <f t="array" aca="1" ref="F1943" ca="1">IFERROR(_xlfn.STOCKHISTORY("USD/BRL",E1943,E1943,0,0,1),Preços!$C$3)</f>
        <v>6.1798000000000002</v>
      </c>
    </row>
    <row r="1944" spans="5:6" x14ac:dyDescent="0.25">
      <c r="E1944" s="147">
        <f t="shared" si="29"/>
        <v>1</v>
      </c>
      <c r="F1944" s="155" cm="1">
        <f t="array" aca="1" ref="F1944" ca="1">IFERROR(_xlfn.STOCKHISTORY("USD/BRL",E1944,E1944,0,0,1),Preços!$C$3)</f>
        <v>6.1798000000000002</v>
      </c>
    </row>
    <row r="1945" spans="5:6" x14ac:dyDescent="0.25">
      <c r="E1945" s="147">
        <f t="shared" si="29"/>
        <v>1</v>
      </c>
      <c r="F1945" s="155" cm="1">
        <f t="array" aca="1" ref="F1945" ca="1">IFERROR(_xlfn.STOCKHISTORY("USD/BRL",E1945,E1945,0,0,1),Preços!$C$3)</f>
        <v>6.1798000000000002</v>
      </c>
    </row>
    <row r="1946" spans="5:6" x14ac:dyDescent="0.25">
      <c r="E1946" s="147">
        <f t="shared" si="29"/>
        <v>1</v>
      </c>
      <c r="F1946" s="155" cm="1">
        <f t="array" aca="1" ref="F1946" ca="1">IFERROR(_xlfn.STOCKHISTORY("USD/BRL",E1946,E1946,0,0,1),Preços!$C$3)</f>
        <v>6.1798000000000002</v>
      </c>
    </row>
    <row r="1947" spans="5:6" x14ac:dyDescent="0.25">
      <c r="E1947" s="147">
        <f t="shared" si="29"/>
        <v>1</v>
      </c>
      <c r="F1947" s="155" cm="1">
        <f t="array" aca="1" ref="F1947" ca="1">IFERROR(_xlfn.STOCKHISTORY("USD/BRL",E1947,E1947,0,0,1),Preços!$C$3)</f>
        <v>6.1798000000000002</v>
      </c>
    </row>
    <row r="1948" spans="5:6" x14ac:dyDescent="0.25">
      <c r="E1948" s="147">
        <f t="shared" si="29"/>
        <v>1</v>
      </c>
      <c r="F1948" s="155" cm="1">
        <f t="array" aca="1" ref="F1948" ca="1">IFERROR(_xlfn.STOCKHISTORY("USD/BRL",E1948,E1948,0,0,1),Preços!$C$3)</f>
        <v>6.1798000000000002</v>
      </c>
    </row>
    <row r="1949" spans="5:6" x14ac:dyDescent="0.25">
      <c r="E1949" s="147">
        <f t="shared" si="29"/>
        <v>1</v>
      </c>
      <c r="F1949" s="155" cm="1">
        <f t="array" aca="1" ref="F1949" ca="1">IFERROR(_xlfn.STOCKHISTORY("USD/BRL",E1949,E1949,0,0,1),Preços!$C$3)</f>
        <v>6.1798000000000002</v>
      </c>
    </row>
    <row r="1950" spans="5:6" x14ac:dyDescent="0.25">
      <c r="E1950" s="147">
        <f t="shared" si="29"/>
        <v>1</v>
      </c>
      <c r="F1950" s="155" cm="1">
        <f t="array" aca="1" ref="F1950" ca="1">IFERROR(_xlfn.STOCKHISTORY("USD/BRL",E1950,E1950,0,0,1),Preços!$C$3)</f>
        <v>6.1798000000000002</v>
      </c>
    </row>
    <row r="1951" spans="5:6" x14ac:dyDescent="0.25">
      <c r="E1951" s="147">
        <f t="shared" si="29"/>
        <v>1</v>
      </c>
      <c r="F1951" s="155" cm="1">
        <f t="array" aca="1" ref="F1951" ca="1">IFERROR(_xlfn.STOCKHISTORY("USD/BRL",E1951,E1951,0,0,1),Preços!$C$3)</f>
        <v>6.1798000000000002</v>
      </c>
    </row>
    <row r="1952" spans="5:6" x14ac:dyDescent="0.25">
      <c r="E1952" s="147">
        <f t="shared" si="29"/>
        <v>1</v>
      </c>
      <c r="F1952" s="155" cm="1">
        <f t="array" aca="1" ref="F1952" ca="1">IFERROR(_xlfn.STOCKHISTORY("USD/BRL",E1952,E1952,0,0,1),Preços!$C$3)</f>
        <v>6.1798000000000002</v>
      </c>
    </row>
    <row r="1953" spans="5:6" x14ac:dyDescent="0.25">
      <c r="E1953" s="147">
        <f t="shared" si="29"/>
        <v>1</v>
      </c>
      <c r="F1953" s="155" cm="1">
        <f t="array" aca="1" ref="F1953" ca="1">IFERROR(_xlfn.STOCKHISTORY("USD/BRL",E1953,E1953,0,0,1),Preços!$C$3)</f>
        <v>6.1798000000000002</v>
      </c>
    </row>
    <row r="1954" spans="5:6" x14ac:dyDescent="0.25">
      <c r="E1954" s="147">
        <f t="shared" si="29"/>
        <v>1</v>
      </c>
      <c r="F1954" s="155" cm="1">
        <f t="array" aca="1" ref="F1954" ca="1">IFERROR(_xlfn.STOCKHISTORY("USD/BRL",E1954,E1954,0,0,1),Preços!$C$3)</f>
        <v>6.1798000000000002</v>
      </c>
    </row>
    <row r="1955" spans="5:6" x14ac:dyDescent="0.25">
      <c r="E1955" s="147">
        <f t="shared" si="29"/>
        <v>1</v>
      </c>
      <c r="F1955" s="155" cm="1">
        <f t="array" aca="1" ref="F1955" ca="1">IFERROR(_xlfn.STOCKHISTORY("USD/BRL",E1955,E1955,0,0,1),Preços!$C$3)</f>
        <v>6.1798000000000002</v>
      </c>
    </row>
    <row r="1956" spans="5:6" x14ac:dyDescent="0.25">
      <c r="E1956" s="147">
        <f t="shared" si="29"/>
        <v>1</v>
      </c>
      <c r="F1956" s="155" cm="1">
        <f t="array" aca="1" ref="F1956" ca="1">IFERROR(_xlfn.STOCKHISTORY("USD/BRL",E1956,E1956,0,0,1),Preços!$C$3)</f>
        <v>6.1798000000000002</v>
      </c>
    </row>
    <row r="1957" spans="5:6" x14ac:dyDescent="0.25">
      <c r="E1957" s="147">
        <f t="shared" si="29"/>
        <v>1</v>
      </c>
      <c r="F1957" s="155" cm="1">
        <f t="array" aca="1" ref="F1957" ca="1">IFERROR(_xlfn.STOCKHISTORY("USD/BRL",E1957,E1957,0,0,1),Preços!$C$3)</f>
        <v>6.1798000000000002</v>
      </c>
    </row>
    <row r="1958" spans="5:6" x14ac:dyDescent="0.25">
      <c r="E1958" s="147">
        <f t="shared" si="29"/>
        <v>1</v>
      </c>
      <c r="F1958" s="155" cm="1">
        <f t="array" aca="1" ref="F1958" ca="1">IFERROR(_xlfn.STOCKHISTORY("USD/BRL",E1958,E1958,0,0,1),Preços!$C$3)</f>
        <v>6.1798000000000002</v>
      </c>
    </row>
    <row r="1959" spans="5:6" x14ac:dyDescent="0.25">
      <c r="E1959" s="147">
        <f t="shared" si="29"/>
        <v>1</v>
      </c>
      <c r="F1959" s="155" cm="1">
        <f t="array" aca="1" ref="F1959" ca="1">IFERROR(_xlfn.STOCKHISTORY("USD/BRL",E1959,E1959,0,0,1),Preços!$C$3)</f>
        <v>6.1798000000000002</v>
      </c>
    </row>
    <row r="1960" spans="5:6" x14ac:dyDescent="0.25">
      <c r="E1960" s="147">
        <f t="shared" si="29"/>
        <v>1</v>
      </c>
      <c r="F1960" s="155" cm="1">
        <f t="array" aca="1" ref="F1960" ca="1">IFERROR(_xlfn.STOCKHISTORY("USD/BRL",E1960,E1960,0,0,1),Preços!$C$3)</f>
        <v>6.1798000000000002</v>
      </c>
    </row>
    <row r="1961" spans="5:6" x14ac:dyDescent="0.25">
      <c r="E1961" s="147">
        <f t="shared" si="29"/>
        <v>1</v>
      </c>
      <c r="F1961" s="155" cm="1">
        <f t="array" aca="1" ref="F1961" ca="1">IFERROR(_xlfn.STOCKHISTORY("USD/BRL",E1961,E1961,0,0,1),Preços!$C$3)</f>
        <v>6.1798000000000002</v>
      </c>
    </row>
    <row r="1962" spans="5:6" x14ac:dyDescent="0.25">
      <c r="E1962" s="147">
        <f t="shared" si="29"/>
        <v>1</v>
      </c>
      <c r="F1962" s="155" cm="1">
        <f t="array" aca="1" ref="F1962" ca="1">IFERROR(_xlfn.STOCKHISTORY("USD/BRL",E1962,E1962,0,0,1),Preços!$C$3)</f>
        <v>6.1798000000000002</v>
      </c>
    </row>
    <row r="1963" spans="5:6" x14ac:dyDescent="0.25">
      <c r="E1963" s="147">
        <f t="shared" si="29"/>
        <v>1</v>
      </c>
      <c r="F1963" s="155" cm="1">
        <f t="array" aca="1" ref="F1963" ca="1">IFERROR(_xlfn.STOCKHISTORY("USD/BRL",E1963,E1963,0,0,1),Preços!$C$3)</f>
        <v>6.1798000000000002</v>
      </c>
    </row>
    <row r="1964" spans="5:6" x14ac:dyDescent="0.25">
      <c r="E1964" s="147">
        <f t="shared" si="29"/>
        <v>1</v>
      </c>
      <c r="F1964" s="155" cm="1">
        <f t="array" aca="1" ref="F1964" ca="1">IFERROR(_xlfn.STOCKHISTORY("USD/BRL",E1964,E1964,0,0,1),Preços!$C$3)</f>
        <v>6.1798000000000002</v>
      </c>
    </row>
    <row r="1965" spans="5:6" x14ac:dyDescent="0.25">
      <c r="E1965" s="147">
        <f t="shared" si="29"/>
        <v>1</v>
      </c>
      <c r="F1965" s="155" cm="1">
        <f t="array" aca="1" ref="F1965" ca="1">IFERROR(_xlfn.STOCKHISTORY("USD/BRL",E1965,E1965,0,0,1),Preços!$C$3)</f>
        <v>6.1798000000000002</v>
      </c>
    </row>
    <row r="1966" spans="5:6" x14ac:dyDescent="0.25">
      <c r="E1966" s="147">
        <f t="shared" si="29"/>
        <v>1</v>
      </c>
      <c r="F1966" s="155" cm="1">
        <f t="array" aca="1" ref="F1966" ca="1">IFERROR(_xlfn.STOCKHISTORY("USD/BRL",E1966,E1966,0,0,1),Preços!$C$3)</f>
        <v>6.1798000000000002</v>
      </c>
    </row>
    <row r="1967" spans="5:6" x14ac:dyDescent="0.25">
      <c r="E1967" s="147">
        <f t="shared" si="29"/>
        <v>1</v>
      </c>
      <c r="F1967" s="155" cm="1">
        <f t="array" aca="1" ref="F1967" ca="1">IFERROR(_xlfn.STOCKHISTORY("USD/BRL",E1967,E1967,0,0,1),Preços!$C$3)</f>
        <v>6.1798000000000002</v>
      </c>
    </row>
    <row r="1968" spans="5:6" x14ac:dyDescent="0.25">
      <c r="E1968" s="147">
        <f t="shared" si="29"/>
        <v>1</v>
      </c>
      <c r="F1968" s="155" cm="1">
        <f t="array" aca="1" ref="F1968" ca="1">IFERROR(_xlfn.STOCKHISTORY("USD/BRL",E1968,E1968,0,0,1),Preços!$C$3)</f>
        <v>6.1798000000000002</v>
      </c>
    </row>
    <row r="1969" spans="5:6" x14ac:dyDescent="0.25">
      <c r="E1969" s="147">
        <f t="shared" si="29"/>
        <v>1</v>
      </c>
      <c r="F1969" s="155" cm="1">
        <f t="array" aca="1" ref="F1969" ca="1">IFERROR(_xlfn.STOCKHISTORY("USD/BRL",E1969,E1969,0,0,1),Preços!$C$3)</f>
        <v>6.1798000000000002</v>
      </c>
    </row>
    <row r="1970" spans="5:6" x14ac:dyDescent="0.25">
      <c r="E1970" s="147">
        <f t="shared" si="29"/>
        <v>1</v>
      </c>
      <c r="F1970" s="155" cm="1">
        <f t="array" aca="1" ref="F1970" ca="1">IFERROR(_xlfn.STOCKHISTORY("USD/BRL",E1970,E1970,0,0,1),Preços!$C$3)</f>
        <v>6.1798000000000002</v>
      </c>
    </row>
    <row r="1971" spans="5:6" x14ac:dyDescent="0.25">
      <c r="E1971" s="147">
        <f t="shared" si="29"/>
        <v>1</v>
      </c>
      <c r="F1971" s="155" cm="1">
        <f t="array" aca="1" ref="F1971" ca="1">IFERROR(_xlfn.STOCKHISTORY("USD/BRL",E1971,E1971,0,0,1),Preços!$C$3)</f>
        <v>6.1798000000000002</v>
      </c>
    </row>
    <row r="1972" spans="5:6" x14ac:dyDescent="0.25">
      <c r="E1972" s="147">
        <f t="shared" si="29"/>
        <v>1</v>
      </c>
      <c r="F1972" s="155" cm="1">
        <f t="array" aca="1" ref="F1972" ca="1">IFERROR(_xlfn.STOCKHISTORY("USD/BRL",E1972,E1972,0,0,1),Preços!$C$3)</f>
        <v>6.1798000000000002</v>
      </c>
    </row>
    <row r="1973" spans="5:6" x14ac:dyDescent="0.25">
      <c r="E1973" s="147">
        <f t="shared" si="29"/>
        <v>1</v>
      </c>
      <c r="F1973" s="155" cm="1">
        <f t="array" aca="1" ref="F1973" ca="1">IFERROR(_xlfn.STOCKHISTORY("USD/BRL",E1973,E1973,0,0,1),Preços!$C$3)</f>
        <v>6.1798000000000002</v>
      </c>
    </row>
    <row r="1974" spans="5:6" x14ac:dyDescent="0.25">
      <c r="E1974" s="147">
        <f t="shared" si="29"/>
        <v>1</v>
      </c>
      <c r="F1974" s="155" cm="1">
        <f t="array" aca="1" ref="F1974" ca="1">IFERROR(_xlfn.STOCKHISTORY("USD/BRL",E1974,E1974,0,0,1),Preços!$C$3)</f>
        <v>6.1798000000000002</v>
      </c>
    </row>
    <row r="1975" spans="5:6" x14ac:dyDescent="0.25">
      <c r="E1975" s="147">
        <f t="shared" si="29"/>
        <v>1</v>
      </c>
      <c r="F1975" s="155" cm="1">
        <f t="array" aca="1" ref="F1975" ca="1">IFERROR(_xlfn.STOCKHISTORY("USD/BRL",E1975,E1975,0,0,1),Preços!$C$3)</f>
        <v>6.1798000000000002</v>
      </c>
    </row>
    <row r="1976" spans="5:6" x14ac:dyDescent="0.25">
      <c r="E1976" s="147">
        <f t="shared" si="29"/>
        <v>1</v>
      </c>
      <c r="F1976" s="155" cm="1">
        <f t="array" aca="1" ref="F1976" ca="1">IFERROR(_xlfn.STOCKHISTORY("USD/BRL",E1976,E1976,0,0,1),Preços!$C$3)</f>
        <v>6.1798000000000002</v>
      </c>
    </row>
    <row r="1977" spans="5:6" x14ac:dyDescent="0.25">
      <c r="E1977" s="147">
        <f t="shared" si="29"/>
        <v>1</v>
      </c>
      <c r="F1977" s="155" cm="1">
        <f t="array" aca="1" ref="F1977" ca="1">IFERROR(_xlfn.STOCKHISTORY("USD/BRL",E1977,E1977,0,0,1),Preços!$C$3)</f>
        <v>6.1798000000000002</v>
      </c>
    </row>
    <row r="1978" spans="5:6" x14ac:dyDescent="0.25">
      <c r="E1978" s="147">
        <f t="shared" si="29"/>
        <v>1</v>
      </c>
      <c r="F1978" s="155" cm="1">
        <f t="array" aca="1" ref="F1978" ca="1">IFERROR(_xlfn.STOCKHISTORY("USD/BRL",E1978,E1978,0,0,1),Preços!$C$3)</f>
        <v>6.1798000000000002</v>
      </c>
    </row>
    <row r="1979" spans="5:6" x14ac:dyDescent="0.25">
      <c r="E1979" s="147">
        <f t="shared" si="29"/>
        <v>1</v>
      </c>
      <c r="F1979" s="155" cm="1">
        <f t="array" aca="1" ref="F1979" ca="1">IFERROR(_xlfn.STOCKHISTORY("USD/BRL",E1979,E1979,0,0,1),Preços!$C$3)</f>
        <v>6.1798000000000002</v>
      </c>
    </row>
    <row r="1980" spans="5:6" x14ac:dyDescent="0.25">
      <c r="E1980" s="147">
        <f t="shared" si="29"/>
        <v>1</v>
      </c>
      <c r="F1980" s="155" cm="1">
        <f t="array" aca="1" ref="F1980" ca="1">IFERROR(_xlfn.STOCKHISTORY("USD/BRL",E1980,E1980,0,0,1),Preços!$C$3)</f>
        <v>6.1798000000000002</v>
      </c>
    </row>
    <row r="1981" spans="5:6" x14ac:dyDescent="0.25">
      <c r="E1981" s="147">
        <f t="shared" si="29"/>
        <v>1</v>
      </c>
      <c r="F1981" s="155" cm="1">
        <f t="array" aca="1" ref="F1981" ca="1">IFERROR(_xlfn.STOCKHISTORY("USD/BRL",E1981,E1981,0,0,1),Preços!$C$3)</f>
        <v>6.1798000000000002</v>
      </c>
    </row>
    <row r="1982" spans="5:6" x14ac:dyDescent="0.25">
      <c r="E1982" s="147">
        <f t="shared" si="29"/>
        <v>1</v>
      </c>
      <c r="F1982" s="155" cm="1">
        <f t="array" aca="1" ref="F1982" ca="1">IFERROR(_xlfn.STOCKHISTORY("USD/BRL",E1982,E1982,0,0,1),Preços!$C$3)</f>
        <v>6.1798000000000002</v>
      </c>
    </row>
    <row r="1983" spans="5:6" x14ac:dyDescent="0.25">
      <c r="E1983" s="147">
        <f t="shared" si="29"/>
        <v>1</v>
      </c>
      <c r="F1983" s="155" cm="1">
        <f t="array" aca="1" ref="F1983" ca="1">IFERROR(_xlfn.STOCKHISTORY("USD/BRL",E1983,E1983,0,0,1),Preços!$C$3)</f>
        <v>6.1798000000000002</v>
      </c>
    </row>
    <row r="1984" spans="5:6" x14ac:dyDescent="0.25">
      <c r="E1984" s="147">
        <f t="shared" si="29"/>
        <v>1</v>
      </c>
      <c r="F1984" s="155" cm="1">
        <f t="array" aca="1" ref="F1984" ca="1">IFERROR(_xlfn.STOCKHISTORY("USD/BRL",E1984,E1984,0,0,1),Preços!$C$3)</f>
        <v>6.1798000000000002</v>
      </c>
    </row>
    <row r="1985" spans="5:6" x14ac:dyDescent="0.25">
      <c r="E1985" s="147">
        <f t="shared" si="29"/>
        <v>1</v>
      </c>
      <c r="F1985" s="155" cm="1">
        <f t="array" aca="1" ref="F1985" ca="1">IFERROR(_xlfn.STOCKHISTORY("USD/BRL",E1985,E1985,0,0,1),Preços!$C$3)</f>
        <v>6.1798000000000002</v>
      </c>
    </row>
    <row r="1986" spans="5:6" x14ac:dyDescent="0.25">
      <c r="E1986" s="147">
        <f t="shared" si="29"/>
        <v>1</v>
      </c>
      <c r="F1986" s="155" cm="1">
        <f t="array" aca="1" ref="F1986" ca="1">IFERROR(_xlfn.STOCKHISTORY("USD/BRL",E1986,E1986,0,0,1),Preços!$C$3)</f>
        <v>6.1798000000000002</v>
      </c>
    </row>
    <row r="1987" spans="5:6" x14ac:dyDescent="0.25">
      <c r="E1987" s="147">
        <f t="shared" si="29"/>
        <v>1</v>
      </c>
      <c r="F1987" s="155" cm="1">
        <f t="array" aca="1" ref="F1987" ca="1">IFERROR(_xlfn.STOCKHISTORY("USD/BRL",E1987,E1987,0,0,1),Preços!$C$3)</f>
        <v>6.1798000000000002</v>
      </c>
    </row>
    <row r="1988" spans="5:6" x14ac:dyDescent="0.25">
      <c r="E1988" s="147">
        <f t="shared" ref="E1988:E2049" si="30">DATE(YEAR(D1894),MONTH(D1894),1)</f>
        <v>1</v>
      </c>
      <c r="F1988" s="155" cm="1">
        <f t="array" aca="1" ref="F1988" ca="1">IFERROR(_xlfn.STOCKHISTORY("USD/BRL",E1988,E1988,0,0,1),Preços!$C$3)</f>
        <v>6.1798000000000002</v>
      </c>
    </row>
    <row r="1989" spans="5:6" x14ac:dyDescent="0.25">
      <c r="E1989" s="147">
        <f t="shared" si="30"/>
        <v>1</v>
      </c>
      <c r="F1989" s="155" cm="1">
        <f t="array" aca="1" ref="F1989" ca="1">IFERROR(_xlfn.STOCKHISTORY("USD/BRL",E1989,E1989,0,0,1),Preços!$C$3)</f>
        <v>6.1798000000000002</v>
      </c>
    </row>
    <row r="1990" spans="5:6" x14ac:dyDescent="0.25">
      <c r="E1990" s="147">
        <f t="shared" si="30"/>
        <v>1</v>
      </c>
      <c r="F1990" s="155" cm="1">
        <f t="array" aca="1" ref="F1990" ca="1">IFERROR(_xlfn.STOCKHISTORY("USD/BRL",E1990,E1990,0,0,1),Preços!$C$3)</f>
        <v>6.1798000000000002</v>
      </c>
    </row>
    <row r="1991" spans="5:6" x14ac:dyDescent="0.25">
      <c r="E1991" s="147">
        <f t="shared" si="30"/>
        <v>1</v>
      </c>
      <c r="F1991" s="155" cm="1">
        <f t="array" aca="1" ref="F1991" ca="1">IFERROR(_xlfn.STOCKHISTORY("USD/BRL",E1991,E1991,0,0,1),Preços!$C$3)</f>
        <v>6.1798000000000002</v>
      </c>
    </row>
    <row r="1992" spans="5:6" x14ac:dyDescent="0.25">
      <c r="E1992" s="147">
        <f t="shared" si="30"/>
        <v>1</v>
      </c>
      <c r="F1992" s="155" cm="1">
        <f t="array" aca="1" ref="F1992" ca="1">IFERROR(_xlfn.STOCKHISTORY("USD/BRL",E1992,E1992,0,0,1),Preços!$C$3)</f>
        <v>6.1798000000000002</v>
      </c>
    </row>
    <row r="1993" spans="5:6" x14ac:dyDescent="0.25">
      <c r="E1993" s="147">
        <f t="shared" si="30"/>
        <v>1</v>
      </c>
      <c r="F1993" s="155" cm="1">
        <f t="array" aca="1" ref="F1993" ca="1">IFERROR(_xlfn.STOCKHISTORY("USD/BRL",E1993,E1993,0,0,1),Preços!$C$3)</f>
        <v>6.1798000000000002</v>
      </c>
    </row>
    <row r="1994" spans="5:6" x14ac:dyDescent="0.25">
      <c r="E1994" s="147">
        <f t="shared" si="30"/>
        <v>1</v>
      </c>
      <c r="F1994" s="155" cm="1">
        <f t="array" aca="1" ref="F1994" ca="1">IFERROR(_xlfn.STOCKHISTORY("USD/BRL",E1994,E1994,0,0,1),Preços!$C$3)</f>
        <v>6.1798000000000002</v>
      </c>
    </row>
    <row r="1995" spans="5:6" x14ac:dyDescent="0.25">
      <c r="E1995" s="147">
        <f t="shared" si="30"/>
        <v>1</v>
      </c>
      <c r="F1995" s="155" cm="1">
        <f t="array" aca="1" ref="F1995" ca="1">IFERROR(_xlfn.STOCKHISTORY("USD/BRL",E1995,E1995,0,0,1),Preços!$C$3)</f>
        <v>6.1798000000000002</v>
      </c>
    </row>
    <row r="1996" spans="5:6" x14ac:dyDescent="0.25">
      <c r="E1996" s="147">
        <f t="shared" si="30"/>
        <v>1</v>
      </c>
      <c r="F1996" s="155" cm="1">
        <f t="array" aca="1" ref="F1996" ca="1">IFERROR(_xlfn.STOCKHISTORY("USD/BRL",E1996,E1996,0,0,1),Preços!$C$3)</f>
        <v>6.1798000000000002</v>
      </c>
    </row>
    <row r="1997" spans="5:6" x14ac:dyDescent="0.25">
      <c r="E1997" s="147">
        <f t="shared" si="30"/>
        <v>1</v>
      </c>
      <c r="F1997" s="155" cm="1">
        <f t="array" aca="1" ref="F1997" ca="1">IFERROR(_xlfn.STOCKHISTORY("USD/BRL",E1997,E1997,0,0,1),Preços!$C$3)</f>
        <v>6.1798000000000002</v>
      </c>
    </row>
    <row r="1998" spans="5:6" x14ac:dyDescent="0.25">
      <c r="E1998" s="147">
        <f t="shared" si="30"/>
        <v>1</v>
      </c>
      <c r="F1998" s="155" cm="1">
        <f t="array" aca="1" ref="F1998" ca="1">IFERROR(_xlfn.STOCKHISTORY("USD/BRL",E1998,E1998,0,0,1),Preços!$C$3)</f>
        <v>6.1798000000000002</v>
      </c>
    </row>
    <row r="1999" spans="5:6" x14ac:dyDescent="0.25">
      <c r="E1999" s="147">
        <f t="shared" si="30"/>
        <v>1</v>
      </c>
      <c r="F1999" s="155" cm="1">
        <f t="array" aca="1" ref="F1999" ca="1">IFERROR(_xlfn.STOCKHISTORY("USD/BRL",E1999,E1999,0,0,1),Preços!$C$3)</f>
        <v>6.1798000000000002</v>
      </c>
    </row>
    <row r="2000" spans="5:6" x14ac:dyDescent="0.25">
      <c r="E2000" s="147">
        <f t="shared" si="30"/>
        <v>1</v>
      </c>
      <c r="F2000" s="155" cm="1">
        <f t="array" aca="1" ref="F2000" ca="1">IFERROR(_xlfn.STOCKHISTORY("USD/BRL",E2000,E2000,0,0,1),Preços!$C$3)</f>
        <v>6.1798000000000002</v>
      </c>
    </row>
    <row r="2001" spans="5:6" x14ac:dyDescent="0.25">
      <c r="E2001" s="147">
        <f t="shared" si="30"/>
        <v>1</v>
      </c>
      <c r="F2001" s="155" cm="1">
        <f t="array" aca="1" ref="F2001" ca="1">IFERROR(_xlfn.STOCKHISTORY("USD/BRL",E2001,E2001,0,0,1),Preços!$C$3)</f>
        <v>6.1798000000000002</v>
      </c>
    </row>
    <row r="2002" spans="5:6" x14ac:dyDescent="0.25">
      <c r="E2002" s="147">
        <f t="shared" si="30"/>
        <v>1</v>
      </c>
      <c r="F2002" s="155" cm="1">
        <f t="array" aca="1" ref="F2002" ca="1">IFERROR(_xlfn.STOCKHISTORY("USD/BRL",E2002,E2002,0,0,1),Preços!$C$3)</f>
        <v>6.1798000000000002</v>
      </c>
    </row>
    <row r="2003" spans="5:6" x14ac:dyDescent="0.25">
      <c r="E2003" s="147">
        <f t="shared" si="30"/>
        <v>1</v>
      </c>
      <c r="F2003" s="155" cm="1">
        <f t="array" aca="1" ref="F2003" ca="1">IFERROR(_xlfn.STOCKHISTORY("USD/BRL",E2003,E2003,0,0,1),Preços!$C$3)</f>
        <v>6.1798000000000002</v>
      </c>
    </row>
    <row r="2004" spans="5:6" x14ac:dyDescent="0.25">
      <c r="E2004" s="147">
        <f t="shared" si="30"/>
        <v>1</v>
      </c>
      <c r="F2004" s="155" cm="1">
        <f t="array" aca="1" ref="F2004" ca="1">IFERROR(_xlfn.STOCKHISTORY("USD/BRL",E2004,E2004,0,0,1),Preços!$C$3)</f>
        <v>6.1798000000000002</v>
      </c>
    </row>
    <row r="2005" spans="5:6" x14ac:dyDescent="0.25">
      <c r="E2005" s="147">
        <f t="shared" si="30"/>
        <v>1</v>
      </c>
      <c r="F2005" s="155" cm="1">
        <f t="array" aca="1" ref="F2005" ca="1">IFERROR(_xlfn.STOCKHISTORY("USD/BRL",E2005,E2005,0,0,1),Preços!$C$3)</f>
        <v>6.1798000000000002</v>
      </c>
    </row>
    <row r="2006" spans="5:6" x14ac:dyDescent="0.25">
      <c r="E2006" s="147">
        <f t="shared" si="30"/>
        <v>1</v>
      </c>
      <c r="F2006" s="155" cm="1">
        <f t="array" aca="1" ref="F2006" ca="1">IFERROR(_xlfn.STOCKHISTORY("USD/BRL",E2006,E2006,0,0,1),Preços!$C$3)</f>
        <v>6.1798000000000002</v>
      </c>
    </row>
    <row r="2007" spans="5:6" x14ac:dyDescent="0.25">
      <c r="E2007" s="147">
        <f t="shared" si="30"/>
        <v>1</v>
      </c>
      <c r="F2007" s="155" cm="1">
        <f t="array" aca="1" ref="F2007" ca="1">IFERROR(_xlfn.STOCKHISTORY("USD/BRL",E2007,E2007,0,0,1),Preços!$C$3)</f>
        <v>6.1798000000000002</v>
      </c>
    </row>
    <row r="2008" spans="5:6" x14ac:dyDescent="0.25">
      <c r="E2008" s="147">
        <f t="shared" si="30"/>
        <v>1</v>
      </c>
      <c r="F2008" s="155" cm="1">
        <f t="array" aca="1" ref="F2008" ca="1">IFERROR(_xlfn.STOCKHISTORY("USD/BRL",E2008,E2008,0,0,1),Preços!$C$3)</f>
        <v>6.1798000000000002</v>
      </c>
    </row>
    <row r="2009" spans="5:6" x14ac:dyDescent="0.25">
      <c r="E2009" s="147">
        <f t="shared" si="30"/>
        <v>1</v>
      </c>
      <c r="F2009" s="155" cm="1">
        <f t="array" aca="1" ref="F2009" ca="1">IFERROR(_xlfn.STOCKHISTORY("USD/BRL",E2009,E2009,0,0,1),Preços!$C$3)</f>
        <v>6.1798000000000002</v>
      </c>
    </row>
    <row r="2010" spans="5:6" x14ac:dyDescent="0.25">
      <c r="E2010" s="147">
        <f t="shared" si="30"/>
        <v>1</v>
      </c>
      <c r="F2010" s="155" cm="1">
        <f t="array" aca="1" ref="F2010" ca="1">IFERROR(_xlfn.STOCKHISTORY("USD/BRL",E2010,E2010,0,0,1),Preços!$C$3)</f>
        <v>6.1798000000000002</v>
      </c>
    </row>
    <row r="2011" spans="5:6" x14ac:dyDescent="0.25">
      <c r="E2011" s="147">
        <f t="shared" si="30"/>
        <v>1</v>
      </c>
      <c r="F2011" s="155" cm="1">
        <f t="array" aca="1" ref="F2011" ca="1">IFERROR(_xlfn.STOCKHISTORY("USD/BRL",E2011,E2011,0,0,1),Preços!$C$3)</f>
        <v>6.1798000000000002</v>
      </c>
    </row>
    <row r="2012" spans="5:6" x14ac:dyDescent="0.25">
      <c r="E2012" s="147">
        <f t="shared" si="30"/>
        <v>1</v>
      </c>
      <c r="F2012" s="155" cm="1">
        <f t="array" aca="1" ref="F2012" ca="1">IFERROR(_xlfn.STOCKHISTORY("USD/BRL",E2012,E2012,0,0,1),Preços!$C$3)</f>
        <v>6.1798000000000002</v>
      </c>
    </row>
    <row r="2013" spans="5:6" x14ac:dyDescent="0.25">
      <c r="E2013" s="147">
        <f t="shared" si="30"/>
        <v>1</v>
      </c>
      <c r="F2013" s="155" cm="1">
        <f t="array" aca="1" ref="F2013" ca="1">IFERROR(_xlfn.STOCKHISTORY("USD/BRL",E2013,E2013,0,0,1),Preços!$C$3)</f>
        <v>6.1798000000000002</v>
      </c>
    </row>
    <row r="2014" spans="5:6" x14ac:dyDescent="0.25">
      <c r="E2014" s="147">
        <f t="shared" si="30"/>
        <v>1</v>
      </c>
      <c r="F2014" s="155" cm="1">
        <f t="array" aca="1" ref="F2014" ca="1">IFERROR(_xlfn.STOCKHISTORY("USD/BRL",E2014,E2014,0,0,1),Preços!$C$3)</f>
        <v>6.1798000000000002</v>
      </c>
    </row>
    <row r="2015" spans="5:6" x14ac:dyDescent="0.25">
      <c r="E2015" s="147">
        <f t="shared" si="30"/>
        <v>1</v>
      </c>
      <c r="F2015" s="155" cm="1">
        <f t="array" aca="1" ref="F2015" ca="1">IFERROR(_xlfn.STOCKHISTORY("USD/BRL",E2015,E2015,0,0,1),Preços!$C$3)</f>
        <v>6.1798000000000002</v>
      </c>
    </row>
    <row r="2016" spans="5:6" x14ac:dyDescent="0.25">
      <c r="E2016" s="147">
        <f t="shared" si="30"/>
        <v>1</v>
      </c>
      <c r="F2016" s="155" cm="1">
        <f t="array" aca="1" ref="F2016" ca="1">IFERROR(_xlfn.STOCKHISTORY("USD/BRL",E2016,E2016,0,0,1),Preços!$C$3)</f>
        <v>6.1798000000000002</v>
      </c>
    </row>
    <row r="2017" spans="5:6" x14ac:dyDescent="0.25">
      <c r="E2017" s="147">
        <f t="shared" si="30"/>
        <v>1</v>
      </c>
      <c r="F2017" s="155" cm="1">
        <f t="array" aca="1" ref="F2017" ca="1">IFERROR(_xlfn.STOCKHISTORY("USD/BRL",E2017,E2017,0,0,1),Preços!$C$3)</f>
        <v>6.1798000000000002</v>
      </c>
    </row>
    <row r="2018" spans="5:6" x14ac:dyDescent="0.25">
      <c r="E2018" s="147">
        <f t="shared" si="30"/>
        <v>1</v>
      </c>
      <c r="F2018" s="155" cm="1">
        <f t="array" aca="1" ref="F2018" ca="1">IFERROR(_xlfn.STOCKHISTORY("USD/BRL",E2018,E2018,0,0,1),Preços!$C$3)</f>
        <v>6.1798000000000002</v>
      </c>
    </row>
    <row r="2019" spans="5:6" x14ac:dyDescent="0.25">
      <c r="E2019" s="147">
        <f t="shared" si="30"/>
        <v>1</v>
      </c>
      <c r="F2019" s="155" cm="1">
        <f t="array" aca="1" ref="F2019" ca="1">IFERROR(_xlfn.STOCKHISTORY("USD/BRL",E2019,E2019,0,0,1),Preços!$C$3)</f>
        <v>6.1798000000000002</v>
      </c>
    </row>
    <row r="2020" spans="5:6" x14ac:dyDescent="0.25">
      <c r="E2020" s="147">
        <f t="shared" si="30"/>
        <v>1</v>
      </c>
      <c r="F2020" s="155" cm="1">
        <f t="array" aca="1" ref="F2020" ca="1">IFERROR(_xlfn.STOCKHISTORY("USD/BRL",E2020,E2020,0,0,1),Preços!$C$3)</f>
        <v>6.1798000000000002</v>
      </c>
    </row>
    <row r="2021" spans="5:6" x14ac:dyDescent="0.25">
      <c r="E2021" s="147">
        <f t="shared" si="30"/>
        <v>1</v>
      </c>
      <c r="F2021" s="155" cm="1">
        <f t="array" aca="1" ref="F2021" ca="1">IFERROR(_xlfn.STOCKHISTORY("USD/BRL",E2021,E2021,0,0,1),Preços!$C$3)</f>
        <v>6.1798000000000002</v>
      </c>
    </row>
    <row r="2022" spans="5:6" x14ac:dyDescent="0.25">
      <c r="E2022" s="147">
        <f t="shared" si="30"/>
        <v>1</v>
      </c>
      <c r="F2022" s="155" cm="1">
        <f t="array" aca="1" ref="F2022" ca="1">IFERROR(_xlfn.STOCKHISTORY("USD/BRL",E2022,E2022,0,0,1),Preços!$C$3)</f>
        <v>6.1798000000000002</v>
      </c>
    </row>
    <row r="2023" spans="5:6" x14ac:dyDescent="0.25">
      <c r="E2023" s="147">
        <f t="shared" si="30"/>
        <v>1</v>
      </c>
      <c r="F2023" s="155" cm="1">
        <f t="array" aca="1" ref="F2023" ca="1">IFERROR(_xlfn.STOCKHISTORY("USD/BRL",E2023,E2023,0,0,1),Preços!$C$3)</f>
        <v>6.1798000000000002</v>
      </c>
    </row>
    <row r="2024" spans="5:6" x14ac:dyDescent="0.25">
      <c r="E2024" s="147">
        <f t="shared" si="30"/>
        <v>1</v>
      </c>
      <c r="F2024" s="155" cm="1">
        <f t="array" aca="1" ref="F2024" ca="1">IFERROR(_xlfn.STOCKHISTORY("USD/BRL",E2024,E2024,0,0,1),Preços!$C$3)</f>
        <v>6.1798000000000002</v>
      </c>
    </row>
    <row r="2025" spans="5:6" x14ac:dyDescent="0.25">
      <c r="E2025" s="147">
        <f t="shared" si="30"/>
        <v>1</v>
      </c>
      <c r="F2025" s="155" cm="1">
        <f t="array" aca="1" ref="F2025" ca="1">IFERROR(_xlfn.STOCKHISTORY("USD/BRL",E2025,E2025,0,0,1),Preços!$C$3)</f>
        <v>6.1798000000000002</v>
      </c>
    </row>
    <row r="2026" spans="5:6" x14ac:dyDescent="0.25">
      <c r="E2026" s="147">
        <f t="shared" si="30"/>
        <v>1</v>
      </c>
      <c r="F2026" s="155" cm="1">
        <f t="array" aca="1" ref="F2026" ca="1">IFERROR(_xlfn.STOCKHISTORY("USD/BRL",E2026,E2026,0,0,1),Preços!$C$3)</f>
        <v>6.1798000000000002</v>
      </c>
    </row>
    <row r="2027" spans="5:6" x14ac:dyDescent="0.25">
      <c r="E2027" s="147">
        <f t="shared" si="30"/>
        <v>1</v>
      </c>
      <c r="F2027" s="155" cm="1">
        <f t="array" aca="1" ref="F2027" ca="1">IFERROR(_xlfn.STOCKHISTORY("USD/BRL",E2027,E2027,0,0,1),Preços!$C$3)</f>
        <v>6.1798000000000002</v>
      </c>
    </row>
    <row r="2028" spans="5:6" x14ac:dyDescent="0.25">
      <c r="E2028" s="147">
        <f t="shared" si="30"/>
        <v>1</v>
      </c>
      <c r="F2028" s="155" cm="1">
        <f t="array" aca="1" ref="F2028" ca="1">IFERROR(_xlfn.STOCKHISTORY("USD/BRL",E2028,E2028,0,0,1),Preços!$C$3)</f>
        <v>6.1798000000000002</v>
      </c>
    </row>
    <row r="2029" spans="5:6" x14ac:dyDescent="0.25">
      <c r="E2029" s="147">
        <f t="shared" si="30"/>
        <v>1</v>
      </c>
      <c r="F2029" s="155" cm="1">
        <f t="array" aca="1" ref="F2029" ca="1">IFERROR(_xlfn.STOCKHISTORY("USD/BRL",E2029,E2029,0,0,1),Preços!$C$3)</f>
        <v>6.1798000000000002</v>
      </c>
    </row>
    <row r="2030" spans="5:6" x14ac:dyDescent="0.25">
      <c r="E2030" s="147">
        <f t="shared" si="30"/>
        <v>1</v>
      </c>
      <c r="F2030" s="155" cm="1">
        <f t="array" aca="1" ref="F2030" ca="1">IFERROR(_xlfn.STOCKHISTORY("USD/BRL",E2030,E2030,0,0,1),Preços!$C$3)</f>
        <v>6.1798000000000002</v>
      </c>
    </row>
    <row r="2031" spans="5:6" x14ac:dyDescent="0.25">
      <c r="E2031" s="147">
        <f t="shared" si="30"/>
        <v>1</v>
      </c>
      <c r="F2031" s="155" cm="1">
        <f t="array" aca="1" ref="F2031" ca="1">IFERROR(_xlfn.STOCKHISTORY("USD/BRL",E2031,E2031,0,0,1),Preços!$C$3)</f>
        <v>6.1798000000000002</v>
      </c>
    </row>
    <row r="2032" spans="5:6" x14ac:dyDescent="0.25">
      <c r="E2032" s="147">
        <f t="shared" si="30"/>
        <v>1</v>
      </c>
      <c r="F2032" s="155" cm="1">
        <f t="array" aca="1" ref="F2032" ca="1">IFERROR(_xlfn.STOCKHISTORY("USD/BRL",E2032,E2032,0,0,1),Preços!$C$3)</f>
        <v>6.1798000000000002</v>
      </c>
    </row>
    <row r="2033" spans="5:6" x14ac:dyDescent="0.25">
      <c r="E2033" s="147">
        <f t="shared" si="30"/>
        <v>1</v>
      </c>
      <c r="F2033" s="155" cm="1">
        <f t="array" aca="1" ref="F2033" ca="1">IFERROR(_xlfn.STOCKHISTORY("USD/BRL",E2033,E2033,0,0,1),Preços!$C$3)</f>
        <v>6.1798000000000002</v>
      </c>
    </row>
    <row r="2034" spans="5:6" x14ac:dyDescent="0.25">
      <c r="E2034" s="147">
        <f t="shared" si="30"/>
        <v>1</v>
      </c>
      <c r="F2034" s="155" cm="1">
        <f t="array" aca="1" ref="F2034" ca="1">IFERROR(_xlfn.STOCKHISTORY("USD/BRL",E2034,E2034,0,0,1),Preços!$C$3)</f>
        <v>6.1798000000000002</v>
      </c>
    </row>
    <row r="2035" spans="5:6" x14ac:dyDescent="0.25">
      <c r="E2035" s="147">
        <f t="shared" si="30"/>
        <v>1</v>
      </c>
      <c r="F2035" s="155" cm="1">
        <f t="array" aca="1" ref="F2035" ca="1">IFERROR(_xlfn.STOCKHISTORY("USD/BRL",E2035,E2035,0,0,1),Preços!$C$3)</f>
        <v>6.1798000000000002</v>
      </c>
    </row>
    <row r="2036" spans="5:6" x14ac:dyDescent="0.25">
      <c r="E2036" s="147">
        <f t="shared" si="30"/>
        <v>1</v>
      </c>
      <c r="F2036" s="155" cm="1">
        <f t="array" aca="1" ref="F2036" ca="1">IFERROR(_xlfn.STOCKHISTORY("USD/BRL",E2036,E2036,0,0,1),Preços!$C$3)</f>
        <v>6.1798000000000002</v>
      </c>
    </row>
    <row r="2037" spans="5:6" x14ac:dyDescent="0.25">
      <c r="E2037" s="147">
        <f t="shared" si="30"/>
        <v>1</v>
      </c>
      <c r="F2037" s="155" cm="1">
        <f t="array" aca="1" ref="F2037" ca="1">IFERROR(_xlfn.STOCKHISTORY("USD/BRL",E2037,E2037,0,0,1),Preços!$C$3)</f>
        <v>6.1798000000000002</v>
      </c>
    </row>
    <row r="2038" spans="5:6" x14ac:dyDescent="0.25">
      <c r="E2038" s="147">
        <f t="shared" si="30"/>
        <v>1</v>
      </c>
      <c r="F2038" s="155" cm="1">
        <f t="array" aca="1" ref="F2038" ca="1">IFERROR(_xlfn.STOCKHISTORY("USD/BRL",E2038,E2038,0,0,1),Preços!$C$3)</f>
        <v>6.1798000000000002</v>
      </c>
    </row>
    <row r="2039" spans="5:6" x14ac:dyDescent="0.25">
      <c r="E2039" s="147">
        <f t="shared" si="30"/>
        <v>1</v>
      </c>
      <c r="F2039" s="155" cm="1">
        <f t="array" aca="1" ref="F2039" ca="1">IFERROR(_xlfn.STOCKHISTORY("USD/BRL",E2039,E2039,0,0,1),Preços!$C$3)</f>
        <v>6.1798000000000002</v>
      </c>
    </row>
    <row r="2040" spans="5:6" x14ac:dyDescent="0.25">
      <c r="E2040" s="147">
        <f t="shared" si="30"/>
        <v>1</v>
      </c>
      <c r="F2040" s="155" cm="1">
        <f t="array" aca="1" ref="F2040" ca="1">IFERROR(_xlfn.STOCKHISTORY("USD/BRL",E2040,E2040,0,0,1),Preços!$C$3)</f>
        <v>6.1798000000000002</v>
      </c>
    </row>
    <row r="2041" spans="5:6" x14ac:dyDescent="0.25">
      <c r="E2041" s="147">
        <f t="shared" si="30"/>
        <v>1</v>
      </c>
      <c r="F2041" s="155" cm="1">
        <f t="array" aca="1" ref="F2041" ca="1">IFERROR(_xlfn.STOCKHISTORY("USD/BRL",E2041,E2041,0,0,1),Preços!$C$3)</f>
        <v>6.1798000000000002</v>
      </c>
    </row>
    <row r="2042" spans="5:6" x14ac:dyDescent="0.25">
      <c r="E2042" s="147">
        <f t="shared" si="30"/>
        <v>1</v>
      </c>
      <c r="F2042" s="155" cm="1">
        <f t="array" aca="1" ref="F2042" ca="1">IFERROR(_xlfn.STOCKHISTORY("USD/BRL",E2042,E2042,0,0,1),Preços!$C$3)</f>
        <v>6.1798000000000002</v>
      </c>
    </row>
    <row r="2043" spans="5:6" x14ac:dyDescent="0.25">
      <c r="E2043" s="147">
        <f t="shared" si="30"/>
        <v>1</v>
      </c>
      <c r="F2043" s="155" cm="1">
        <f t="array" aca="1" ref="F2043" ca="1">IFERROR(_xlfn.STOCKHISTORY("USD/BRL",E2043,E2043,0,0,1),Preços!$C$3)</f>
        <v>6.1798000000000002</v>
      </c>
    </row>
    <row r="2044" spans="5:6" x14ac:dyDescent="0.25">
      <c r="E2044" s="147">
        <f t="shared" si="30"/>
        <v>1</v>
      </c>
      <c r="F2044" s="155" cm="1">
        <f t="array" aca="1" ref="F2044" ca="1">IFERROR(_xlfn.STOCKHISTORY("USD/BRL",E2044,E2044,0,0,1),Preços!$C$3)</f>
        <v>6.1798000000000002</v>
      </c>
    </row>
    <row r="2045" spans="5:6" x14ac:dyDescent="0.25">
      <c r="E2045" s="147">
        <f t="shared" si="30"/>
        <v>1</v>
      </c>
      <c r="F2045" s="155" cm="1">
        <f t="array" aca="1" ref="F2045" ca="1">IFERROR(_xlfn.STOCKHISTORY("USD/BRL",E2045,E2045,0,0,1),Preços!$C$3)</f>
        <v>6.1798000000000002</v>
      </c>
    </row>
    <row r="2046" spans="5:6" x14ac:dyDescent="0.25">
      <c r="E2046" s="147">
        <f t="shared" si="30"/>
        <v>1</v>
      </c>
      <c r="F2046" s="155" cm="1">
        <f t="array" aca="1" ref="F2046" ca="1">IFERROR(_xlfn.STOCKHISTORY("USD/BRL",E2046,E2046,0,0,1),Preços!$C$3)</f>
        <v>6.1798000000000002</v>
      </c>
    </row>
    <row r="2047" spans="5:6" x14ac:dyDescent="0.25">
      <c r="E2047" s="147">
        <f t="shared" si="30"/>
        <v>1</v>
      </c>
      <c r="F2047" s="155" cm="1">
        <f t="array" aca="1" ref="F2047" ca="1">IFERROR(_xlfn.STOCKHISTORY("USD/BRL",E2047,E2047,0,0,1),Preços!$C$3)</f>
        <v>6.1798000000000002</v>
      </c>
    </row>
    <row r="2048" spans="5:6" x14ac:dyDescent="0.25">
      <c r="E2048" s="147">
        <f t="shared" si="30"/>
        <v>1</v>
      </c>
      <c r="F2048" s="155" cm="1">
        <f t="array" aca="1" ref="F2048" ca="1">IFERROR(_xlfn.STOCKHISTORY("USD/BRL",E2048,E2048,0,0,1),Preços!$C$3)</f>
        <v>6.1798000000000002</v>
      </c>
    </row>
    <row r="2049" spans="5:6" x14ac:dyDescent="0.25">
      <c r="E2049" s="147">
        <f t="shared" si="30"/>
        <v>1</v>
      </c>
      <c r="F2049" s="155" cm="1">
        <f t="array" aca="1" ref="F2049" ca="1">IFERROR(_xlfn.STOCKHISTORY("USD/BRL",E2049,E2049,0,0,1),Preços!$C$3)</f>
        <v>6.1798000000000002</v>
      </c>
    </row>
  </sheetData>
  <mergeCells count="2">
    <mergeCell ref="I1:J2"/>
    <mergeCell ref="A1:D1"/>
  </mergeCells>
  <dataValidations count="1">
    <dataValidation type="list" allowBlank="1" showInputMessage="1" showErrorMessage="1" sqref="B3" xr:uid="{A8F0AAAD-0294-44AB-9387-D6FECD3592E8}">
      <formula1>$H$4:$J$4</formula1>
    </dataValidation>
  </dataValidations>
  <pageMargins left="0.511811024" right="0.511811024" top="0.78740157499999996" bottom="0.78740157499999996" header="0.31496062000000002" footer="0.31496062000000002"/>
  <drawing r:id="rId1"/>
  <legacy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A1B39-44FE-4AFF-AFF8-7CEA29736EF5}">
  <sheetPr codeName="Planilha3"/>
  <dimension ref="A1:F27"/>
  <sheetViews>
    <sheetView showGridLines="0" workbookViewId="0">
      <selection activeCell="I13" sqref="I13"/>
    </sheetView>
  </sheetViews>
  <sheetFormatPr defaultRowHeight="15" x14ac:dyDescent="0.25"/>
  <cols>
    <col min="1" max="1" width="11.28515625" style="141" bestFit="1" customWidth="1"/>
    <col min="2" max="2" width="13" style="139" customWidth="1"/>
    <col min="3" max="3" width="15" style="141" customWidth="1"/>
    <col min="4" max="4" width="15.42578125" style="143" customWidth="1"/>
    <col min="5" max="5" width="11.140625" style="143" bestFit="1" customWidth="1"/>
    <col min="6" max="6" width="10.5703125" bestFit="1" customWidth="1"/>
  </cols>
  <sheetData>
    <row r="1" spans="1:6" x14ac:dyDescent="0.25">
      <c r="A1" s="141" t="s">
        <v>2288</v>
      </c>
      <c r="B1" s="140" t="s">
        <v>28</v>
      </c>
      <c r="C1" s="141" t="s">
        <v>33</v>
      </c>
      <c r="D1" s="143" t="s">
        <v>2296</v>
      </c>
      <c r="E1" s="143" t="s">
        <v>2297</v>
      </c>
      <c r="F1" s="140"/>
    </row>
    <row r="2" spans="1:6" x14ac:dyDescent="0.25">
      <c r="A2" s="141">
        <v>44896</v>
      </c>
      <c r="B2" s="138">
        <f>Tabela4[[#This Row],[Investimento]]+(Tabela4[[#This Row],[Investimento]]*Tabela4[[#This Row],[CDI]])</f>
        <v>0</v>
      </c>
      <c r="C2" s="138">
        <v>0</v>
      </c>
      <c r="D2" s="143">
        <f t="shared" ref="D2:D8" si="0">IFERROR((B2/C2)-1,0)</f>
        <v>0</v>
      </c>
      <c r="E2" s="143">
        <v>0</v>
      </c>
    </row>
    <row r="3" spans="1:6" x14ac:dyDescent="0.25">
      <c r="A3" s="141">
        <v>44927</v>
      </c>
      <c r="B3" s="138">
        <f>Tabela4[[#This Row],[Investimento]]+(Tabela4[[#This Row],[Investimento]]*Tabela4[[#This Row],[CDI]])</f>
        <v>1011.2</v>
      </c>
      <c r="C3" s="138">
        <v>1000</v>
      </c>
      <c r="D3" s="143">
        <f t="shared" si="0"/>
        <v>1.1200000000000099E-2</v>
      </c>
      <c r="E3" s="143">
        <v>1.1200000000000002E-2</v>
      </c>
      <c r="F3" s="142"/>
    </row>
    <row r="4" spans="1:6" x14ac:dyDescent="0.25">
      <c r="A4" s="141">
        <v>44958</v>
      </c>
      <c r="B4" s="138">
        <f>Tabela4[[#This Row],[Investimento]]+(Tabela4[[#This Row],[Investimento]]*Tabela4[[#This Row],[CDI]])</f>
        <v>1224.48</v>
      </c>
      <c r="C4" s="138">
        <f>C3+200</f>
        <v>1200</v>
      </c>
      <c r="D4" s="143">
        <f t="shared" si="0"/>
        <v>2.0399999999999974E-2</v>
      </c>
      <c r="E4" s="143">
        <v>2.0400000000000001E-2</v>
      </c>
      <c r="F4" s="142"/>
    </row>
    <row r="5" spans="1:6" x14ac:dyDescent="0.25">
      <c r="A5" s="141">
        <v>44986</v>
      </c>
      <c r="B5" s="138">
        <f>Tabela4[[#This Row],[Investimento]]+(Tabela4[[#This Row],[Investimento]]*Tabela4[[#This Row],[CDI]])</f>
        <v>1444.94</v>
      </c>
      <c r="C5" s="138">
        <f>C4+200</f>
        <v>1400</v>
      </c>
      <c r="D5" s="143">
        <f t="shared" si="0"/>
        <v>3.2100000000000017E-2</v>
      </c>
      <c r="E5" s="143">
        <v>3.2100000000000004E-2</v>
      </c>
      <c r="F5" s="142"/>
    </row>
    <row r="6" spans="1:6" x14ac:dyDescent="0.25">
      <c r="A6" s="141">
        <v>45017</v>
      </c>
      <c r="B6" s="138">
        <f>Tabela4[[#This Row],[Investimento]]+(Tabela4[[#This Row],[Investimento]]*Tabela4[[#This Row],[CDI]])</f>
        <v>1666.08</v>
      </c>
      <c r="C6" s="138">
        <f t="shared" ref="C6:C27" si="1">C5+200</f>
        <v>1600</v>
      </c>
      <c r="D6" s="143">
        <f t="shared" si="0"/>
        <v>4.1299999999999892E-2</v>
      </c>
      <c r="E6" s="143">
        <v>4.1300000000000003E-2</v>
      </c>
      <c r="F6" s="142"/>
    </row>
    <row r="7" spans="1:6" x14ac:dyDescent="0.25">
      <c r="A7" s="141">
        <v>45047</v>
      </c>
      <c r="B7" s="138">
        <f>Tabela4[[#This Row],[Investimento]]+(Tabela4[[#This Row],[Investimento]]*Tabela4[[#This Row],[CDI]])</f>
        <v>1894.5</v>
      </c>
      <c r="C7" s="138">
        <f t="shared" si="1"/>
        <v>1800</v>
      </c>
      <c r="D7" s="143">
        <f t="shared" si="0"/>
        <v>5.2499999999999991E-2</v>
      </c>
      <c r="E7" s="143">
        <v>5.2500000000000005E-2</v>
      </c>
      <c r="F7" s="142"/>
    </row>
    <row r="8" spans="1:6" x14ac:dyDescent="0.25">
      <c r="A8" s="141">
        <v>45078</v>
      </c>
      <c r="B8" s="138">
        <f>Tabela4[[#This Row],[Investimento]]+(Tabela4[[#This Row],[Investimento]]*Tabela4[[#This Row],[CDI]])</f>
        <v>2126.4</v>
      </c>
      <c r="C8" s="138">
        <f t="shared" si="1"/>
        <v>2000</v>
      </c>
      <c r="D8" s="143">
        <f t="shared" si="0"/>
        <v>6.3200000000000145E-2</v>
      </c>
      <c r="E8" s="143">
        <v>6.3200000000000006E-2</v>
      </c>
      <c r="F8" s="142"/>
    </row>
    <row r="9" spans="1:6" x14ac:dyDescent="0.25">
      <c r="A9" s="141">
        <v>45108</v>
      </c>
      <c r="B9" s="138">
        <f>Tabela4[[#This Row],[Investimento]]+(Tabela4[[#This Row],[Investimento]]*Tabela4[[#This Row],[CDI]])</f>
        <v>2362.58</v>
      </c>
      <c r="C9" s="138">
        <f t="shared" si="1"/>
        <v>2200</v>
      </c>
      <c r="D9" s="143">
        <f t="shared" ref="D9" si="2">IFERROR((B9/C9)-1,0)</f>
        <v>7.3900000000000077E-2</v>
      </c>
      <c r="E9" s="143">
        <v>7.3900000000000007E-2</v>
      </c>
    </row>
    <row r="10" spans="1:6" x14ac:dyDescent="0.25">
      <c r="A10" s="141">
        <v>45139</v>
      </c>
      <c r="B10" s="138">
        <f>Tabela4[[#This Row],[Investimento]]+(Tabela4[[#This Row],[Investimento]]*Tabela4[[#This Row],[CDI]])</f>
        <v>2604.7199999999998</v>
      </c>
      <c r="C10" s="138">
        <f t="shared" si="1"/>
        <v>2400</v>
      </c>
      <c r="D10" s="143">
        <f t="shared" ref="D10" si="3">IFERROR((B10/C10)-1,0)</f>
        <v>8.5299999999999931E-2</v>
      </c>
      <c r="E10" s="143">
        <v>8.5300000000000001E-2</v>
      </c>
    </row>
    <row r="11" spans="1:6" x14ac:dyDescent="0.25">
      <c r="A11" s="141">
        <v>45170</v>
      </c>
      <c r="B11" s="138">
        <f>Tabela4[[#This Row],[Investimento]]+(Tabela4[[#This Row],[Investimento]]*Tabela4[[#This Row],[CDI]])</f>
        <v>2847</v>
      </c>
      <c r="C11" s="138">
        <f t="shared" si="1"/>
        <v>2600</v>
      </c>
      <c r="D11" s="143">
        <f t="shared" ref="D11" si="4">IFERROR((B11/C11)-1,0)</f>
        <v>9.4999999999999973E-2</v>
      </c>
      <c r="E11" s="143">
        <v>9.5000000000000001E-2</v>
      </c>
    </row>
    <row r="12" spans="1:6" x14ac:dyDescent="0.25">
      <c r="A12" s="141">
        <v>45200</v>
      </c>
      <c r="B12" s="138">
        <f>Tabela4[[#This Row],[Investimento]]+(Tabela4[[#This Row],[Investimento]]*Tabela4[[#This Row],[CDI]])</f>
        <v>3094</v>
      </c>
      <c r="C12" s="138">
        <f t="shared" si="1"/>
        <v>2800</v>
      </c>
      <c r="D12" s="143">
        <f t="shared" ref="D12" si="5">IFERROR((B12/C12)-1,0)</f>
        <v>0.10499999999999998</v>
      </c>
      <c r="E12" s="143">
        <v>0.105</v>
      </c>
    </row>
    <row r="13" spans="1:6" x14ac:dyDescent="0.25">
      <c r="A13" s="141">
        <v>45231</v>
      </c>
      <c r="B13" s="138">
        <f>Tabela4[[#This Row],[Investimento]]+(Tabela4[[#This Row],[Investimento]]*Tabela4[[#This Row],[CDI]])</f>
        <v>3342.6</v>
      </c>
      <c r="C13" s="138">
        <f t="shared" si="1"/>
        <v>3000</v>
      </c>
      <c r="D13" s="143">
        <f t="shared" ref="D13" si="6">IFERROR((B13/C13)-1,0)</f>
        <v>0.11420000000000008</v>
      </c>
      <c r="E13" s="143">
        <v>0.1142</v>
      </c>
    </row>
    <row r="14" spans="1:6" x14ac:dyDescent="0.25">
      <c r="A14" s="141">
        <v>45261</v>
      </c>
      <c r="B14" s="138">
        <f>Tabela4[[#This Row],[Investimento]]+(Tabela4[[#This Row],[Investimento]]*Tabela4[[#This Row],[CDI]])</f>
        <v>3593.92</v>
      </c>
      <c r="C14" s="138">
        <f t="shared" si="1"/>
        <v>3200</v>
      </c>
      <c r="D14" s="143">
        <f>IFERROR((B14/C14)-1,0)</f>
        <v>0.12309999999999999</v>
      </c>
      <c r="E14" s="143">
        <v>0.1231</v>
      </c>
    </row>
    <row r="15" spans="1:6" x14ac:dyDescent="0.25">
      <c r="A15" s="141">
        <v>45292</v>
      </c>
      <c r="B15" s="138">
        <f>Tabela4[[#This Row],[Investimento]]+(Tabela4[[#This Row],[Investimento]]*Tabela4[[#This Row],[CDI]])</f>
        <v>3851.52</v>
      </c>
      <c r="C15" s="138">
        <f t="shared" si="1"/>
        <v>3400</v>
      </c>
      <c r="D15" s="143">
        <f>IFERROR((B15/C15)-1,0)</f>
        <v>0.13280000000000003</v>
      </c>
      <c r="E15" s="143">
        <v>0.1328</v>
      </c>
    </row>
    <row r="16" spans="1:6" x14ac:dyDescent="0.25">
      <c r="A16" s="141">
        <v>45323</v>
      </c>
      <c r="B16" s="138">
        <f>Tabela4[[#This Row],[Investimento]]+(Tabela4[[#This Row],[Investimento]]*Tabela4[[#This Row],[CDI]])</f>
        <v>4106.88</v>
      </c>
      <c r="C16" s="138">
        <f t="shared" si="1"/>
        <v>3600</v>
      </c>
      <c r="D16" s="143">
        <f t="shared" ref="D16" si="7">IFERROR((B16/C16)-1,0)</f>
        <v>0.14080000000000004</v>
      </c>
      <c r="E16" s="143">
        <v>0.14080000000000001</v>
      </c>
    </row>
    <row r="17" spans="1:5" x14ac:dyDescent="0.25">
      <c r="A17" s="141">
        <v>45352</v>
      </c>
      <c r="B17" s="138">
        <f>Tabela4[[#This Row],[Investimento]]+(Tabela4[[#This Row],[Investimento]]*Tabela4[[#This Row],[CDI]])</f>
        <v>4366.58</v>
      </c>
      <c r="C17" s="138">
        <f t="shared" si="1"/>
        <v>3800</v>
      </c>
      <c r="D17" s="143">
        <f t="shared" ref="D17:D18" si="8">IFERROR((B17/C17)-1,0)</f>
        <v>0.14910000000000001</v>
      </c>
      <c r="E17" s="143">
        <v>0.14910000000000001</v>
      </c>
    </row>
    <row r="18" spans="1:5" x14ac:dyDescent="0.25">
      <c r="A18" s="141">
        <v>45383</v>
      </c>
      <c r="B18" s="138">
        <f>Tabela4[[#This Row],[Investimento]]+(Tabela4[[#This Row],[Investimento]]*Tabela4[[#This Row],[CDI]])</f>
        <v>4632</v>
      </c>
      <c r="C18" s="138">
        <f t="shared" si="1"/>
        <v>4000</v>
      </c>
      <c r="D18" s="143">
        <f t="shared" si="8"/>
        <v>0.15799999999999992</v>
      </c>
      <c r="E18" s="143">
        <v>0.158</v>
      </c>
    </row>
    <row r="19" spans="1:5" x14ac:dyDescent="0.25">
      <c r="A19" s="141">
        <v>45413</v>
      </c>
      <c r="B19" s="138">
        <f>Tabela4[[#This Row],[Investimento]]+(Tabela4[[#This Row],[Investimento]]*Tabela4[[#This Row],[CDI]])</f>
        <v>4898.46</v>
      </c>
      <c r="C19" s="138">
        <f t="shared" si="1"/>
        <v>4200</v>
      </c>
      <c r="D19" s="143">
        <f t="shared" ref="D19" si="9">IFERROR((B19/C19)-1,0)</f>
        <v>0.16630000000000011</v>
      </c>
      <c r="E19" s="143">
        <v>0.1663</v>
      </c>
    </row>
    <row r="20" spans="1:5" x14ac:dyDescent="0.25">
      <c r="A20" s="141">
        <v>45444</v>
      </c>
      <c r="B20" s="138">
        <f>Tabela4[[#This Row],[Investimento]]+(Tabela4[[#This Row],[Investimento]]*Tabela4[[#This Row],[CDI]])</f>
        <v>5166.4799999999996</v>
      </c>
      <c r="C20" s="138">
        <f t="shared" si="1"/>
        <v>4400</v>
      </c>
      <c r="D20" s="143">
        <f t="shared" ref="D20" si="10">IFERROR((B20/C20)-1,0)</f>
        <v>0.17419999999999991</v>
      </c>
      <c r="E20" s="143">
        <v>0.17419999999999999</v>
      </c>
    </row>
    <row r="21" spans="1:5" x14ac:dyDescent="0.25">
      <c r="A21" s="141">
        <v>45474</v>
      </c>
      <c r="B21" s="138">
        <f>Tabela4[[#This Row],[Investimento]]+(Tabela4[[#This Row],[Investimento]]*Tabela4[[#This Row],[CDI]])</f>
        <v>5443.18</v>
      </c>
      <c r="C21" s="138">
        <f t="shared" si="1"/>
        <v>4600</v>
      </c>
      <c r="D21" s="143">
        <f t="shared" ref="D21" si="11">IFERROR((B21/C21)-1,0)</f>
        <v>0.18330000000000002</v>
      </c>
      <c r="E21" s="143">
        <v>0.18329999999999999</v>
      </c>
    </row>
    <row r="22" spans="1:5" x14ac:dyDescent="0.25">
      <c r="A22" s="141">
        <v>45505</v>
      </c>
      <c r="B22" s="138">
        <f>Tabela4[[#This Row],[Investimento]]+(Tabela4[[#This Row],[Investimento]]*Tabela4[[#This Row],[CDI]])</f>
        <v>5721.6</v>
      </c>
      <c r="C22" s="138">
        <f t="shared" si="1"/>
        <v>4800</v>
      </c>
      <c r="D22" s="143">
        <f>IFERROR((B22/C22)-1,0)</f>
        <v>0.19200000000000017</v>
      </c>
      <c r="E22" s="143">
        <v>0.192</v>
      </c>
    </row>
    <row r="23" spans="1:5" x14ac:dyDescent="0.25">
      <c r="A23" s="141">
        <v>45536</v>
      </c>
      <c r="B23" s="138">
        <f>Tabela4[[#This Row],[Investimento]]+(Tabela4[[#This Row],[Investimento]]*Tabela4[[#This Row],[CDI]])</f>
        <v>6002</v>
      </c>
      <c r="C23" s="138">
        <f t="shared" si="1"/>
        <v>5000</v>
      </c>
      <c r="D23" s="143">
        <f>IFERROR((B23/C23)-1,0)</f>
        <v>0.20039999999999991</v>
      </c>
      <c r="E23" s="143">
        <v>0.20039999999999999</v>
      </c>
    </row>
    <row r="24" spans="1:5" x14ac:dyDescent="0.25">
      <c r="A24" s="141">
        <v>45566</v>
      </c>
      <c r="B24" s="138">
        <f>Tabela4[[#This Row],[Investimento]]+(Tabela4[[#This Row],[Investimento]]*Tabela4[[#This Row],[CDI]])</f>
        <v>6290.4400000000005</v>
      </c>
      <c r="C24" s="138">
        <f t="shared" si="1"/>
        <v>5200</v>
      </c>
      <c r="D24" s="143">
        <f t="shared" ref="D24" si="12">IFERROR((B24/C24)-1,0)</f>
        <v>0.2097</v>
      </c>
      <c r="E24" s="143">
        <v>0.2097</v>
      </c>
    </row>
    <row r="25" spans="1:5" x14ac:dyDescent="0.25">
      <c r="A25" s="141">
        <v>45597</v>
      </c>
      <c r="B25" s="138">
        <f>Tabela4[[#This Row],[Investimento]]+(Tabela4[[#This Row],[Investimento]]*Tabela4[[#This Row],[CDI]])</f>
        <v>6575.04</v>
      </c>
      <c r="C25" s="138">
        <f t="shared" si="1"/>
        <v>5400</v>
      </c>
      <c r="D25" s="143">
        <f t="shared" ref="D25" si="13">IFERROR((B25/C25)-1,0)</f>
        <v>0.21760000000000002</v>
      </c>
      <c r="E25" s="143">
        <v>0.21759999999999999</v>
      </c>
    </row>
    <row r="26" spans="1:5" x14ac:dyDescent="0.25">
      <c r="A26" s="141">
        <v>45627</v>
      </c>
      <c r="B26" s="138">
        <f>Tabela4[[#This Row],[Investimento]]+(Tabela4[[#This Row],[Investimento]]*Tabela4[[#This Row],[CDI]])</f>
        <v>6870.6399999999994</v>
      </c>
      <c r="C26" s="138">
        <f t="shared" si="1"/>
        <v>5600</v>
      </c>
      <c r="D26" s="143">
        <f t="shared" ref="D26" si="14">IFERROR((B26/C26)-1,0)</f>
        <v>0.22689999999999988</v>
      </c>
      <c r="E26" s="143">
        <v>0.22689999999999999</v>
      </c>
    </row>
    <row r="27" spans="1:5" x14ac:dyDescent="0.25">
      <c r="A27" s="141">
        <v>45658</v>
      </c>
      <c r="B27" s="138">
        <f>Tabela4[[#This Row],[Investimento]]+(Tabela4[[#This Row],[Investimento]]*Tabela4[[#This Row],[CDI]])</f>
        <v>7121.24</v>
      </c>
      <c r="C27" s="138">
        <f t="shared" si="1"/>
        <v>5800</v>
      </c>
      <c r="D27" s="143">
        <f>IFERROR((B27/C27)-1,0)</f>
        <v>0.2278</v>
      </c>
      <c r="E27" s="143">
        <f>E26+(CDI!B$2/100)</f>
        <v>0.2278</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1D893-9624-4142-8327-40E2F1BF37B1}">
  <sheetPr codeName="Planilha11"/>
  <dimension ref="A1:D2"/>
  <sheetViews>
    <sheetView workbookViewId="0">
      <selection activeCell="A2" sqref="A2"/>
    </sheetView>
  </sheetViews>
  <sheetFormatPr defaultRowHeight="15" x14ac:dyDescent="0.25"/>
  <cols>
    <col min="1" max="1" width="16.7109375" bestFit="1" customWidth="1"/>
    <col min="2" max="2" width="12.42578125" bestFit="1" customWidth="1"/>
    <col min="3" max="3" width="17.85546875" bestFit="1" customWidth="1"/>
    <col min="4" max="4" width="9.85546875" bestFit="1" customWidth="1"/>
  </cols>
  <sheetData>
    <row r="1" spans="1:4" x14ac:dyDescent="0.25">
      <c r="A1" s="241" t="s">
        <v>3074</v>
      </c>
      <c r="B1" s="241" t="s">
        <v>3075</v>
      </c>
      <c r="C1" s="241" t="s">
        <v>3076</v>
      </c>
      <c r="D1" s="241" t="s">
        <v>3077</v>
      </c>
    </row>
    <row r="2" spans="1:4" x14ac:dyDescent="0.25">
      <c r="A2" t="s">
        <v>3078</v>
      </c>
      <c r="B2" t="b">
        <v>1</v>
      </c>
      <c r="C2" s="242">
        <v>45662.544293981482</v>
      </c>
      <c r="D2" t="s">
        <v>3079</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60327-1817-4145-A4D9-0C97D13974AC}">
  <sheetPr codeName="Planilha9"/>
  <dimension ref="A1:N28"/>
  <sheetViews>
    <sheetView showGridLines="0" workbookViewId="0">
      <selection activeCell="P36" sqref="P36"/>
    </sheetView>
  </sheetViews>
  <sheetFormatPr defaultRowHeight="15" x14ac:dyDescent="0.25"/>
  <cols>
    <col min="1" max="1" width="11.5703125" bestFit="1" customWidth="1"/>
    <col min="2" max="2" width="6.140625" bestFit="1" customWidth="1"/>
    <col min="3" max="3" width="6.42578125" bestFit="1" customWidth="1"/>
    <col min="4" max="4" width="6.85546875" bestFit="1" customWidth="1"/>
    <col min="5" max="5" width="6.42578125" bestFit="1" customWidth="1"/>
    <col min="6" max="6" width="6.7109375" bestFit="1" customWidth="1"/>
    <col min="7" max="7" width="6.28515625" bestFit="1" customWidth="1"/>
    <col min="8" max="8" width="5.7109375" bestFit="1" customWidth="1"/>
    <col min="9" max="9" width="6.7109375" bestFit="1" customWidth="1"/>
    <col min="10" max="10" width="6.140625" bestFit="1" customWidth="1"/>
    <col min="11" max="11" width="6.5703125" bestFit="1" customWidth="1"/>
    <col min="12" max="12" width="6.85546875" bestFit="1" customWidth="1"/>
    <col min="13" max="13" width="6.5703125" bestFit="1" customWidth="1"/>
    <col min="14" max="14" width="13.28515625" bestFit="1" customWidth="1"/>
  </cols>
  <sheetData>
    <row r="1" spans="1:14" x14ac:dyDescent="0.25">
      <c r="A1" t="s">
        <v>2298</v>
      </c>
      <c r="B1" t="s">
        <v>2299</v>
      </c>
      <c r="C1" t="s">
        <v>2300</v>
      </c>
      <c r="D1" t="s">
        <v>2301</v>
      </c>
      <c r="E1" t="s">
        <v>2302</v>
      </c>
      <c r="F1" t="s">
        <v>2303</v>
      </c>
      <c r="G1" t="s">
        <v>2304</v>
      </c>
      <c r="H1" t="s">
        <v>2305</v>
      </c>
      <c r="I1" t="s">
        <v>2306</v>
      </c>
      <c r="J1" t="s">
        <v>2307</v>
      </c>
      <c r="K1" t="s">
        <v>2308</v>
      </c>
      <c r="L1" t="s">
        <v>2309</v>
      </c>
      <c r="M1" t="s">
        <v>2310</v>
      </c>
      <c r="N1" t="s">
        <v>2311</v>
      </c>
    </row>
    <row r="2" spans="1:14" x14ac:dyDescent="0.25">
      <c r="A2">
        <v>2025</v>
      </c>
      <c r="B2">
        <v>0.09</v>
      </c>
      <c r="H2">
        <v>0</v>
      </c>
      <c r="I2">
        <v>0</v>
      </c>
      <c r="J2">
        <v>0</v>
      </c>
      <c r="K2">
        <v>0</v>
      </c>
      <c r="L2">
        <v>0</v>
      </c>
      <c r="M2">
        <v>0</v>
      </c>
      <c r="N2">
        <v>0.09</v>
      </c>
    </row>
    <row r="3" spans="1:14" x14ac:dyDescent="0.25">
      <c r="A3">
        <v>2024</v>
      </c>
      <c r="B3">
        <v>0.97</v>
      </c>
      <c r="C3">
        <v>0.8</v>
      </c>
      <c r="D3">
        <v>0.83</v>
      </c>
      <c r="E3">
        <v>0.89</v>
      </c>
      <c r="F3">
        <v>0.83</v>
      </c>
      <c r="G3">
        <v>0.79</v>
      </c>
      <c r="H3" t="s">
        <v>2345</v>
      </c>
      <c r="I3" t="s">
        <v>2344</v>
      </c>
      <c r="J3" t="s">
        <v>2346</v>
      </c>
      <c r="K3" t="s">
        <v>2359</v>
      </c>
      <c r="L3" t="s">
        <v>2351</v>
      </c>
      <c r="M3" t="s">
        <v>2359</v>
      </c>
      <c r="N3">
        <v>10.88</v>
      </c>
    </row>
    <row r="4" spans="1:14" x14ac:dyDescent="0.25">
      <c r="A4">
        <v>2023</v>
      </c>
      <c r="B4">
        <v>1.1200000000000001</v>
      </c>
      <c r="C4">
        <v>0.92</v>
      </c>
      <c r="D4">
        <v>1.17</v>
      </c>
      <c r="E4">
        <v>0.92</v>
      </c>
      <c r="F4">
        <v>1.1200000000000001</v>
      </c>
      <c r="G4">
        <v>1.07</v>
      </c>
      <c r="H4" t="s">
        <v>2314</v>
      </c>
      <c r="I4" t="s">
        <v>2439</v>
      </c>
      <c r="J4" t="s">
        <v>2354</v>
      </c>
      <c r="K4" t="s">
        <v>2502</v>
      </c>
      <c r="L4" t="s">
        <v>2548</v>
      </c>
      <c r="M4" t="s">
        <v>2355</v>
      </c>
      <c r="N4">
        <v>13.04</v>
      </c>
    </row>
    <row r="5" spans="1:14" x14ac:dyDescent="0.25">
      <c r="A5">
        <v>2022</v>
      </c>
      <c r="B5">
        <v>0.73</v>
      </c>
      <c r="C5">
        <v>0.76</v>
      </c>
      <c r="D5">
        <v>0.93</v>
      </c>
      <c r="E5">
        <v>0.83</v>
      </c>
      <c r="F5">
        <v>1.03</v>
      </c>
      <c r="G5">
        <v>1.02</v>
      </c>
      <c r="H5" t="s">
        <v>2312</v>
      </c>
      <c r="I5" t="s">
        <v>2313</v>
      </c>
      <c r="J5" t="s">
        <v>2314</v>
      </c>
      <c r="K5" t="s">
        <v>2315</v>
      </c>
      <c r="L5" t="s">
        <v>2315</v>
      </c>
      <c r="M5" t="s">
        <v>2339</v>
      </c>
      <c r="N5">
        <v>12.39</v>
      </c>
    </row>
    <row r="6" spans="1:14" x14ac:dyDescent="0.25">
      <c r="A6">
        <v>2021</v>
      </c>
      <c r="B6">
        <v>0.15</v>
      </c>
      <c r="C6">
        <v>0.13</v>
      </c>
      <c r="D6">
        <v>0.2</v>
      </c>
      <c r="E6">
        <v>0.21</v>
      </c>
      <c r="F6">
        <v>0.27</v>
      </c>
      <c r="G6">
        <v>0.31</v>
      </c>
      <c r="H6" t="s">
        <v>2316</v>
      </c>
      <c r="I6" t="s">
        <v>2317</v>
      </c>
      <c r="J6" t="s">
        <v>2318</v>
      </c>
      <c r="K6" t="s">
        <v>2319</v>
      </c>
      <c r="L6" t="s">
        <v>2320</v>
      </c>
      <c r="M6" t="s">
        <v>2321</v>
      </c>
      <c r="N6">
        <v>4.42</v>
      </c>
    </row>
    <row r="7" spans="1:14" x14ac:dyDescent="0.25">
      <c r="A7">
        <v>2020</v>
      </c>
      <c r="B7">
        <v>0.38</v>
      </c>
      <c r="C7">
        <v>0.28999999999999998</v>
      </c>
      <c r="D7">
        <v>0.34</v>
      </c>
      <c r="E7">
        <v>0.28000000000000003</v>
      </c>
      <c r="F7">
        <v>0.24</v>
      </c>
      <c r="G7">
        <v>0.21</v>
      </c>
      <c r="H7" t="s">
        <v>2322</v>
      </c>
      <c r="I7" t="s">
        <v>2323</v>
      </c>
      <c r="J7" t="s">
        <v>2323</v>
      </c>
      <c r="K7" t="s">
        <v>2323</v>
      </c>
      <c r="L7" t="s">
        <v>2324</v>
      </c>
      <c r="M7" t="s">
        <v>2323</v>
      </c>
      <c r="N7">
        <v>2.76</v>
      </c>
    </row>
    <row r="8" spans="1:14" x14ac:dyDescent="0.25">
      <c r="A8">
        <v>2019</v>
      </c>
      <c r="B8">
        <v>0.54</v>
      </c>
      <c r="C8">
        <v>0.49</v>
      </c>
      <c r="D8">
        <v>0.47</v>
      </c>
      <c r="E8">
        <v>0.52</v>
      </c>
      <c r="F8">
        <v>0.54</v>
      </c>
      <c r="G8">
        <v>0.47</v>
      </c>
      <c r="H8" t="s">
        <v>2325</v>
      </c>
      <c r="I8" t="s">
        <v>2326</v>
      </c>
      <c r="J8" t="s">
        <v>2327</v>
      </c>
      <c r="K8" t="s">
        <v>2328</v>
      </c>
      <c r="L8" t="s">
        <v>2329</v>
      </c>
      <c r="M8" t="s">
        <v>2330</v>
      </c>
      <c r="N8">
        <v>5.96</v>
      </c>
    </row>
    <row r="9" spans="1:14" x14ac:dyDescent="0.25">
      <c r="A9">
        <v>2018</v>
      </c>
      <c r="B9">
        <v>0.57999999999999996</v>
      </c>
      <c r="C9">
        <v>0.47</v>
      </c>
      <c r="D9">
        <v>0.53</v>
      </c>
      <c r="E9">
        <v>0.52</v>
      </c>
      <c r="F9">
        <v>0.52</v>
      </c>
      <c r="G9">
        <v>0.52</v>
      </c>
      <c r="H9" t="s">
        <v>2331</v>
      </c>
      <c r="I9" t="s">
        <v>2325</v>
      </c>
      <c r="J9" t="s">
        <v>2332</v>
      </c>
      <c r="K9" t="s">
        <v>2331</v>
      </c>
      <c r="L9" t="s">
        <v>2319</v>
      </c>
      <c r="M9" t="s">
        <v>2319</v>
      </c>
      <c r="N9">
        <v>6.43</v>
      </c>
    </row>
    <row r="10" spans="1:14" x14ac:dyDescent="0.25">
      <c r="A10">
        <v>2017</v>
      </c>
      <c r="B10">
        <v>1.0900000000000001</v>
      </c>
      <c r="C10">
        <v>0.87</v>
      </c>
      <c r="D10">
        <v>1.05</v>
      </c>
      <c r="E10">
        <v>0.79</v>
      </c>
      <c r="F10">
        <v>0.93</v>
      </c>
      <c r="G10">
        <v>0.81</v>
      </c>
      <c r="H10" t="s">
        <v>2333</v>
      </c>
      <c r="I10" t="s">
        <v>2333</v>
      </c>
      <c r="J10" t="s">
        <v>2334</v>
      </c>
      <c r="K10" t="s">
        <v>2334</v>
      </c>
      <c r="L10" t="s">
        <v>2325</v>
      </c>
      <c r="M10" t="s">
        <v>2331</v>
      </c>
      <c r="N10">
        <v>9.94</v>
      </c>
    </row>
    <row r="11" spans="1:14" x14ac:dyDescent="0.25">
      <c r="A11">
        <v>2016</v>
      </c>
      <c r="B11">
        <v>1.06</v>
      </c>
      <c r="C11">
        <v>1</v>
      </c>
      <c r="D11">
        <v>1.1599999999999999</v>
      </c>
      <c r="E11">
        <v>1.06</v>
      </c>
      <c r="F11">
        <v>1.1100000000000001</v>
      </c>
      <c r="G11">
        <v>1.1599999999999999</v>
      </c>
      <c r="H11" t="s">
        <v>2335</v>
      </c>
      <c r="I11" t="s">
        <v>2336</v>
      </c>
      <c r="J11" t="s">
        <v>2335</v>
      </c>
      <c r="K11" t="s">
        <v>2337</v>
      </c>
      <c r="L11" t="s">
        <v>2338</v>
      </c>
      <c r="M11" t="s">
        <v>2339</v>
      </c>
      <c r="N11">
        <v>14.02</v>
      </c>
    </row>
    <row r="12" spans="1:14" x14ac:dyDescent="0.25">
      <c r="A12">
        <v>2015</v>
      </c>
      <c r="B12">
        <v>0.94</v>
      </c>
      <c r="C12">
        <v>0.82</v>
      </c>
      <c r="D12">
        <v>1.04</v>
      </c>
      <c r="E12">
        <v>0.95</v>
      </c>
      <c r="F12">
        <v>0.99</v>
      </c>
      <c r="G12">
        <v>1.07</v>
      </c>
      <c r="H12" t="s">
        <v>2340</v>
      </c>
      <c r="I12" t="s">
        <v>2335</v>
      </c>
      <c r="J12" t="s">
        <v>2335</v>
      </c>
      <c r="K12" t="s">
        <v>2335</v>
      </c>
      <c r="L12" t="s">
        <v>2341</v>
      </c>
      <c r="M12" t="s">
        <v>2342</v>
      </c>
      <c r="N12">
        <v>13.27</v>
      </c>
    </row>
    <row r="13" spans="1:14" x14ac:dyDescent="0.25">
      <c r="A13">
        <v>2014</v>
      </c>
      <c r="B13">
        <v>0.85</v>
      </c>
      <c r="C13">
        <v>0.79</v>
      </c>
      <c r="D13">
        <v>0.77</v>
      </c>
      <c r="E13">
        <v>0.82</v>
      </c>
      <c r="F13">
        <v>0.87</v>
      </c>
      <c r="G13">
        <v>0.82</v>
      </c>
      <c r="H13" t="s">
        <v>2343</v>
      </c>
      <c r="I13" t="s">
        <v>2344</v>
      </c>
      <c r="J13" t="s">
        <v>2345</v>
      </c>
      <c r="K13" t="s">
        <v>2343</v>
      </c>
      <c r="L13" t="s">
        <v>2346</v>
      </c>
      <c r="M13" t="s">
        <v>2347</v>
      </c>
      <c r="N13">
        <v>10.9</v>
      </c>
    </row>
    <row r="14" spans="1:14" x14ac:dyDescent="0.25">
      <c r="A14">
        <v>2013</v>
      </c>
      <c r="B14">
        <v>0.6</v>
      </c>
      <c r="C14">
        <v>0.49</v>
      </c>
      <c r="D14">
        <v>0.55000000000000004</v>
      </c>
      <c r="E14">
        <v>0.61</v>
      </c>
      <c r="F14">
        <v>0.6</v>
      </c>
      <c r="G14">
        <v>0.61</v>
      </c>
      <c r="H14" t="s">
        <v>2348</v>
      </c>
      <c r="I14" t="s">
        <v>2349</v>
      </c>
      <c r="J14" t="s">
        <v>2349</v>
      </c>
      <c r="K14" t="s">
        <v>2350</v>
      </c>
      <c r="L14" t="s">
        <v>2348</v>
      </c>
      <c r="M14" t="s">
        <v>2351</v>
      </c>
      <c r="N14">
        <v>8.2200000000000006</v>
      </c>
    </row>
    <row r="15" spans="1:14" x14ac:dyDescent="0.25">
      <c r="A15">
        <v>2012</v>
      </c>
      <c r="B15">
        <v>0.89</v>
      </c>
      <c r="C15">
        <v>0.75</v>
      </c>
      <c r="D15">
        <v>0.82</v>
      </c>
      <c r="E15">
        <v>0.71</v>
      </c>
      <c r="F15">
        <v>0.74</v>
      </c>
      <c r="G15">
        <v>0.64</v>
      </c>
      <c r="H15" t="s">
        <v>2447</v>
      </c>
      <c r="I15" t="s">
        <v>2358</v>
      </c>
      <c r="J15" t="s">
        <v>2331</v>
      </c>
      <c r="K15" t="s">
        <v>2448</v>
      </c>
      <c r="L15" t="s">
        <v>2353</v>
      </c>
      <c r="M15" t="s">
        <v>2353</v>
      </c>
      <c r="N15">
        <v>8.49</v>
      </c>
    </row>
    <row r="16" spans="1:14" x14ac:dyDescent="0.25">
      <c r="A16">
        <v>2011</v>
      </c>
      <c r="B16">
        <v>0.86</v>
      </c>
      <c r="C16">
        <v>0.84</v>
      </c>
      <c r="D16">
        <v>0.92</v>
      </c>
      <c r="E16">
        <v>0.84</v>
      </c>
      <c r="F16">
        <v>0.99</v>
      </c>
      <c r="G16">
        <v>0.96</v>
      </c>
      <c r="H16" t="s">
        <v>2354</v>
      </c>
      <c r="I16" t="s">
        <v>2314</v>
      </c>
      <c r="J16" t="s">
        <v>2360</v>
      </c>
      <c r="K16" t="s">
        <v>2361</v>
      </c>
      <c r="L16" t="s">
        <v>2356</v>
      </c>
      <c r="M16" t="s">
        <v>2345</v>
      </c>
      <c r="N16">
        <v>11.62</v>
      </c>
    </row>
    <row r="17" spans="1:14" x14ac:dyDescent="0.25">
      <c r="A17">
        <v>2010</v>
      </c>
      <c r="B17">
        <v>0.66</v>
      </c>
      <c r="C17">
        <v>0.59</v>
      </c>
      <c r="D17">
        <v>0.76</v>
      </c>
      <c r="E17">
        <v>0.67</v>
      </c>
      <c r="F17">
        <v>0.75</v>
      </c>
      <c r="G17">
        <v>0.79</v>
      </c>
      <c r="H17" t="s">
        <v>2356</v>
      </c>
      <c r="I17" t="s">
        <v>2355</v>
      </c>
      <c r="J17" t="s">
        <v>2357</v>
      </c>
      <c r="K17" t="s">
        <v>2350</v>
      </c>
      <c r="L17" t="s">
        <v>2350</v>
      </c>
      <c r="M17" t="s">
        <v>2359</v>
      </c>
      <c r="N17">
        <v>9.7799999999999994</v>
      </c>
    </row>
    <row r="18" spans="1:14" x14ac:dyDescent="0.25">
      <c r="A18">
        <v>2009</v>
      </c>
      <c r="B18">
        <v>1.05</v>
      </c>
      <c r="C18">
        <v>0.86</v>
      </c>
      <c r="D18">
        <v>0.97</v>
      </c>
      <c r="E18">
        <v>0.84</v>
      </c>
      <c r="F18">
        <v>0.77</v>
      </c>
      <c r="G18">
        <v>0.76</v>
      </c>
      <c r="H18" t="s">
        <v>2351</v>
      </c>
      <c r="I18" t="s">
        <v>2358</v>
      </c>
      <c r="J18" t="s">
        <v>2358</v>
      </c>
      <c r="K18" t="s">
        <v>2358</v>
      </c>
      <c r="L18" t="s">
        <v>2352</v>
      </c>
      <c r="M18" t="s">
        <v>2449</v>
      </c>
      <c r="N18">
        <v>9.93</v>
      </c>
    </row>
    <row r="19" spans="1:14" x14ac:dyDescent="0.25">
      <c r="A19">
        <v>2008</v>
      </c>
      <c r="B19">
        <v>0.93</v>
      </c>
      <c r="C19">
        <v>0.8</v>
      </c>
      <c r="D19">
        <v>0.84</v>
      </c>
      <c r="E19">
        <v>0.9</v>
      </c>
      <c r="F19">
        <v>0.88</v>
      </c>
      <c r="G19">
        <v>0.96</v>
      </c>
      <c r="H19" t="s">
        <v>2314</v>
      </c>
      <c r="I19" t="s">
        <v>2315</v>
      </c>
      <c r="J19" t="s">
        <v>2450</v>
      </c>
      <c r="K19" t="s">
        <v>2340</v>
      </c>
      <c r="L19" t="s">
        <v>2315</v>
      </c>
      <c r="M19" t="s">
        <v>2339</v>
      </c>
      <c r="N19">
        <v>12.48</v>
      </c>
    </row>
    <row r="20" spans="1:14" x14ac:dyDescent="0.25">
      <c r="A20">
        <v>2007</v>
      </c>
      <c r="B20">
        <v>1.08</v>
      </c>
      <c r="C20">
        <v>0.87</v>
      </c>
      <c r="D20">
        <v>1.05</v>
      </c>
      <c r="E20">
        <v>0.94</v>
      </c>
      <c r="F20">
        <v>1.03</v>
      </c>
      <c r="G20">
        <v>0.91</v>
      </c>
      <c r="H20" t="s">
        <v>2354</v>
      </c>
      <c r="I20" t="s">
        <v>2451</v>
      </c>
      <c r="J20" t="s">
        <v>2333</v>
      </c>
      <c r="K20" t="s">
        <v>2359</v>
      </c>
      <c r="L20" t="s">
        <v>2346</v>
      </c>
      <c r="M20" t="s">
        <v>2346</v>
      </c>
      <c r="N20">
        <v>11.88</v>
      </c>
    </row>
    <row r="21" spans="1:14" x14ac:dyDescent="0.25">
      <c r="A21">
        <v>2006</v>
      </c>
      <c r="B21">
        <v>1.43</v>
      </c>
      <c r="C21">
        <v>1.1499999999999999</v>
      </c>
      <c r="D21">
        <v>1.42</v>
      </c>
      <c r="E21">
        <v>1.08</v>
      </c>
      <c r="F21">
        <v>1.28</v>
      </c>
      <c r="G21">
        <v>1.18</v>
      </c>
      <c r="H21" t="s">
        <v>2313</v>
      </c>
      <c r="I21" t="s">
        <v>2452</v>
      </c>
      <c r="J21" t="s">
        <v>2341</v>
      </c>
      <c r="K21" t="s">
        <v>2453</v>
      </c>
      <c r="L21" t="s">
        <v>2315</v>
      </c>
      <c r="M21" t="s">
        <v>2451</v>
      </c>
      <c r="N21">
        <v>15.08</v>
      </c>
    </row>
    <row r="22" spans="1:14" x14ac:dyDescent="0.25">
      <c r="A22">
        <v>2005</v>
      </c>
      <c r="B22">
        <v>1.38</v>
      </c>
      <c r="C22">
        <v>1.22</v>
      </c>
      <c r="D22">
        <v>1.53</v>
      </c>
      <c r="E22">
        <v>1.41</v>
      </c>
      <c r="F22">
        <v>1.5</v>
      </c>
      <c r="G22">
        <v>1.59</v>
      </c>
      <c r="H22" t="s">
        <v>2363</v>
      </c>
      <c r="I22" t="s">
        <v>2454</v>
      </c>
      <c r="J22" t="s">
        <v>2455</v>
      </c>
      <c r="K22" t="s">
        <v>2367</v>
      </c>
      <c r="L22" t="s">
        <v>2456</v>
      </c>
      <c r="M22" t="s">
        <v>2365</v>
      </c>
      <c r="N22">
        <v>19.05</v>
      </c>
    </row>
    <row r="23" spans="1:14" x14ac:dyDescent="0.25">
      <c r="A23">
        <v>2004</v>
      </c>
      <c r="B23">
        <v>1.27</v>
      </c>
      <c r="C23">
        <v>1.08</v>
      </c>
      <c r="D23">
        <v>1.38</v>
      </c>
      <c r="E23">
        <v>1.18</v>
      </c>
      <c r="F23">
        <v>1.23</v>
      </c>
      <c r="G23">
        <v>1.23</v>
      </c>
      <c r="H23" t="s">
        <v>2457</v>
      </c>
      <c r="I23" t="s">
        <v>2457</v>
      </c>
      <c r="J23" t="s">
        <v>2458</v>
      </c>
      <c r="K23" t="s">
        <v>2366</v>
      </c>
      <c r="L23" t="s">
        <v>2458</v>
      </c>
      <c r="M23" t="s">
        <v>2374</v>
      </c>
      <c r="N23">
        <v>16.25</v>
      </c>
    </row>
    <row r="24" spans="1:14" x14ac:dyDescent="0.25">
      <c r="A24">
        <v>2003</v>
      </c>
      <c r="B24">
        <v>1.97</v>
      </c>
      <c r="C24">
        <v>1.83</v>
      </c>
      <c r="D24">
        <v>1.78</v>
      </c>
      <c r="E24">
        <v>1.87</v>
      </c>
      <c r="F24">
        <v>1.97</v>
      </c>
      <c r="G24">
        <v>1.86</v>
      </c>
      <c r="H24" t="s">
        <v>2459</v>
      </c>
      <c r="I24" t="s">
        <v>2460</v>
      </c>
      <c r="J24" t="s">
        <v>2461</v>
      </c>
      <c r="K24" t="s">
        <v>2372</v>
      </c>
      <c r="L24" t="s">
        <v>2369</v>
      </c>
      <c r="M24" t="s">
        <v>2375</v>
      </c>
      <c r="N24">
        <v>23.35</v>
      </c>
    </row>
    <row r="25" spans="1:14" x14ac:dyDescent="0.25">
      <c r="A25">
        <v>2002</v>
      </c>
      <c r="B25">
        <v>1.53</v>
      </c>
      <c r="C25">
        <v>1.25</v>
      </c>
      <c r="D25">
        <v>1.37</v>
      </c>
      <c r="E25">
        <v>1.48</v>
      </c>
      <c r="F25">
        <v>1.41</v>
      </c>
      <c r="G25">
        <v>1.33</v>
      </c>
      <c r="H25" t="s">
        <v>2462</v>
      </c>
      <c r="I25" t="s">
        <v>2463</v>
      </c>
      <c r="J25" t="s">
        <v>2456</v>
      </c>
      <c r="K25" t="s">
        <v>2464</v>
      </c>
      <c r="L25" t="s">
        <v>2462</v>
      </c>
      <c r="M25" t="s">
        <v>2465</v>
      </c>
      <c r="N25">
        <v>19.170000000000002</v>
      </c>
    </row>
    <row r="26" spans="1:14" x14ac:dyDescent="0.25">
      <c r="A26">
        <v>2001</v>
      </c>
      <c r="B26">
        <v>1.27</v>
      </c>
      <c r="C26">
        <v>1.02</v>
      </c>
      <c r="D26">
        <v>1.26</v>
      </c>
      <c r="E26">
        <v>1.19</v>
      </c>
      <c r="F26">
        <v>1.34</v>
      </c>
      <c r="G26">
        <v>1.27</v>
      </c>
      <c r="H26" t="s">
        <v>2455</v>
      </c>
      <c r="I26" t="s">
        <v>2368</v>
      </c>
      <c r="J26" t="s">
        <v>2373</v>
      </c>
      <c r="K26" t="s">
        <v>2371</v>
      </c>
      <c r="L26" t="s">
        <v>2466</v>
      </c>
      <c r="M26" t="s">
        <v>2466</v>
      </c>
      <c r="N26">
        <v>17.32</v>
      </c>
    </row>
    <row r="27" spans="1:14" x14ac:dyDescent="0.25">
      <c r="A27">
        <v>2000</v>
      </c>
      <c r="B27">
        <v>1.46</v>
      </c>
      <c r="C27">
        <v>1.45</v>
      </c>
      <c r="D27">
        <v>1.45</v>
      </c>
      <c r="E27">
        <v>1.3</v>
      </c>
      <c r="F27">
        <v>1.49</v>
      </c>
      <c r="G27">
        <v>1.39</v>
      </c>
      <c r="H27" t="s">
        <v>2364</v>
      </c>
      <c r="I27" t="s">
        <v>2367</v>
      </c>
      <c r="J27" t="s">
        <v>2336</v>
      </c>
      <c r="K27" t="s">
        <v>2457</v>
      </c>
      <c r="L27" t="s">
        <v>2336</v>
      </c>
      <c r="M27" t="s">
        <v>2362</v>
      </c>
      <c r="N27">
        <v>17.43</v>
      </c>
    </row>
    <row r="28" spans="1:14" x14ac:dyDescent="0.25">
      <c r="A28">
        <v>1999</v>
      </c>
      <c r="B28">
        <v>2.1800000000000002</v>
      </c>
      <c r="C28">
        <v>2.38</v>
      </c>
      <c r="D28">
        <v>3.33</v>
      </c>
      <c r="E28">
        <v>2.35</v>
      </c>
      <c r="F28">
        <v>2.02</v>
      </c>
      <c r="G28">
        <v>1.67</v>
      </c>
      <c r="H28" t="s">
        <v>2454</v>
      </c>
      <c r="I28" t="s">
        <v>2370</v>
      </c>
      <c r="J28" t="s">
        <v>2467</v>
      </c>
      <c r="K28" t="s">
        <v>2456</v>
      </c>
      <c r="L28" t="s">
        <v>2466</v>
      </c>
      <c r="M28" t="s">
        <v>2368</v>
      </c>
      <c r="N28">
        <v>25.59</v>
      </c>
    </row>
  </sheetData>
  <pageMargins left="0.511811024" right="0.511811024" top="0.78740157499999996" bottom="0.78740157499999996" header="0.31496062000000002" footer="0.31496062000000002"/>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66FA-0599-4506-8825-50392B1C78F0}">
  <sheetPr codeName="Planilha2"/>
  <dimension ref="A1:L102"/>
  <sheetViews>
    <sheetView showGridLines="0" topLeftCell="A64" workbookViewId="0">
      <selection activeCell="F1" sqref="F1"/>
    </sheetView>
  </sheetViews>
  <sheetFormatPr defaultColWidth="8.85546875" defaultRowHeight="15" x14ac:dyDescent="0.25"/>
  <cols>
    <col min="1" max="1" width="10.7109375" style="1" bestFit="1" customWidth="1"/>
    <col min="2" max="2" width="9.42578125" style="1" bestFit="1" customWidth="1"/>
    <col min="3" max="3" width="10.28515625" style="1" bestFit="1" customWidth="1"/>
    <col min="4" max="4" width="4.28515625" style="1" bestFit="1" customWidth="1"/>
    <col min="5" max="5" width="10.85546875" style="1" bestFit="1" customWidth="1"/>
    <col min="6" max="6" width="4.28515625" style="1" bestFit="1" customWidth="1"/>
    <col min="7" max="7" width="7.5703125" style="34" bestFit="1" customWidth="1"/>
    <col min="8" max="8" width="11.42578125" style="34" bestFit="1" customWidth="1"/>
    <col min="9" max="9" width="5.85546875" style="34" bestFit="1" customWidth="1"/>
    <col min="10" max="16384" width="8.85546875" style="1"/>
  </cols>
  <sheetData>
    <row r="1" spans="1:12" x14ac:dyDescent="0.25">
      <c r="A1" s="31" t="s">
        <v>10</v>
      </c>
      <c r="B1" s="31" t="s">
        <v>32</v>
      </c>
      <c r="C1" s="31" t="s">
        <v>35</v>
      </c>
      <c r="D1" s="31" t="s">
        <v>13</v>
      </c>
      <c r="E1" s="31" t="s">
        <v>3</v>
      </c>
      <c r="F1" s="31" t="s">
        <v>11</v>
      </c>
      <c r="G1" s="32" t="s">
        <v>12</v>
      </c>
      <c r="H1" s="32" t="s">
        <v>15</v>
      </c>
      <c r="I1" s="32" t="s">
        <v>16</v>
      </c>
      <c r="L1" s="39"/>
    </row>
    <row r="2" spans="1:12" x14ac:dyDescent="0.25">
      <c r="A2" s="33"/>
      <c r="B2" s="33"/>
      <c r="C2" s="33"/>
    </row>
    <row r="3" spans="1:12" x14ac:dyDescent="0.25">
      <c r="A3" s="33"/>
      <c r="B3" s="33"/>
      <c r="C3" s="33"/>
    </row>
    <row r="4" spans="1:12" x14ac:dyDescent="0.25">
      <c r="A4" s="33"/>
      <c r="B4" s="33"/>
    </row>
    <row r="5" spans="1:12" x14ac:dyDescent="0.25">
      <c r="A5" s="33"/>
      <c r="B5" s="33"/>
    </row>
    <row r="6" spans="1:12" x14ac:dyDescent="0.25">
      <c r="A6" s="33"/>
      <c r="B6" s="33"/>
      <c r="C6" s="33"/>
    </row>
    <row r="7" spans="1:12" x14ac:dyDescent="0.25">
      <c r="A7" s="33"/>
      <c r="B7" s="33"/>
      <c r="C7" s="33"/>
    </row>
    <row r="8" spans="1:12" x14ac:dyDescent="0.25">
      <c r="A8" s="33"/>
      <c r="B8" s="33"/>
    </row>
    <row r="9" spans="1:12" x14ac:dyDescent="0.25">
      <c r="A9" s="33"/>
      <c r="B9" s="33"/>
      <c r="C9" s="33"/>
    </row>
    <row r="10" spans="1:12" x14ac:dyDescent="0.25">
      <c r="A10" s="33"/>
      <c r="B10" s="33"/>
      <c r="C10" s="33"/>
    </row>
    <row r="11" spans="1:12" x14ac:dyDescent="0.25">
      <c r="A11" s="33"/>
      <c r="B11" s="33"/>
      <c r="C11" s="33"/>
    </row>
    <row r="12" spans="1:12" x14ac:dyDescent="0.25">
      <c r="A12" s="33"/>
      <c r="B12" s="33"/>
      <c r="C12" s="33"/>
    </row>
    <row r="13" spans="1:12" x14ac:dyDescent="0.25">
      <c r="A13" s="33"/>
      <c r="B13" s="33"/>
      <c r="C13" s="33"/>
    </row>
    <row r="14" spans="1:12" x14ac:dyDescent="0.25">
      <c r="A14" s="33"/>
      <c r="B14" s="33"/>
      <c r="C14" s="33"/>
    </row>
    <row r="15" spans="1:12" x14ac:dyDescent="0.25">
      <c r="A15" s="33"/>
      <c r="B15" s="33"/>
      <c r="C15" s="33"/>
    </row>
    <row r="16" spans="1:12" x14ac:dyDescent="0.25">
      <c r="A16" s="33"/>
      <c r="B16" s="33"/>
      <c r="C16" s="33"/>
    </row>
    <row r="17" spans="1:11" x14ac:dyDescent="0.25">
      <c r="A17" s="33"/>
      <c r="B17" s="33"/>
      <c r="J17" s="34"/>
      <c r="K17" s="34"/>
    </row>
    <row r="18" spans="1:11" x14ac:dyDescent="0.25">
      <c r="A18" s="33"/>
      <c r="B18" s="33"/>
      <c r="J18" s="34"/>
      <c r="K18" s="34"/>
    </row>
    <row r="19" spans="1:11" x14ac:dyDescent="0.25">
      <c r="A19" s="33"/>
      <c r="B19" s="33"/>
      <c r="J19" s="34"/>
      <c r="K19" s="34"/>
    </row>
    <row r="20" spans="1:11" x14ac:dyDescent="0.25">
      <c r="A20" s="33"/>
      <c r="B20" s="33"/>
      <c r="J20" s="34"/>
      <c r="K20" s="34"/>
    </row>
    <row r="21" spans="1:11" x14ac:dyDescent="0.25">
      <c r="A21" s="33"/>
      <c r="B21" s="33"/>
    </row>
    <row r="22" spans="1:11" x14ac:dyDescent="0.25">
      <c r="A22" s="33"/>
      <c r="B22" s="33"/>
    </row>
    <row r="23" spans="1:11" x14ac:dyDescent="0.25">
      <c r="A23" s="33"/>
      <c r="B23" s="33"/>
    </row>
    <row r="24" spans="1:11" x14ac:dyDescent="0.25">
      <c r="A24" s="33"/>
      <c r="B24" s="33"/>
    </row>
    <row r="25" spans="1:11" x14ac:dyDescent="0.25">
      <c r="A25" s="33"/>
      <c r="B25" s="33"/>
    </row>
    <row r="26" spans="1:11" x14ac:dyDescent="0.25">
      <c r="A26" s="33"/>
      <c r="B26" s="33"/>
    </row>
    <row r="27" spans="1:11" x14ac:dyDescent="0.25">
      <c r="A27" s="33"/>
      <c r="B27" s="33"/>
    </row>
    <row r="28" spans="1:11" x14ac:dyDescent="0.25">
      <c r="A28" s="33"/>
      <c r="B28" s="33"/>
    </row>
    <row r="29" spans="1:11" x14ac:dyDescent="0.25">
      <c r="A29" s="33"/>
      <c r="B29" s="33"/>
    </row>
    <row r="30" spans="1:11" x14ac:dyDescent="0.25">
      <c r="A30" s="33"/>
      <c r="B30" s="33"/>
    </row>
    <row r="31" spans="1:11" x14ac:dyDescent="0.25">
      <c r="A31" s="33"/>
      <c r="B31" s="33"/>
    </row>
    <row r="32" spans="1:11" x14ac:dyDescent="0.25">
      <c r="A32" s="33"/>
      <c r="B32" s="33"/>
    </row>
    <row r="33" spans="1:2" x14ac:dyDescent="0.25">
      <c r="A33" s="33"/>
      <c r="B33" s="33"/>
    </row>
    <row r="34" spans="1:2" x14ac:dyDescent="0.25">
      <c r="A34" s="33"/>
      <c r="B34" s="33"/>
    </row>
    <row r="35" spans="1:2" x14ac:dyDescent="0.25">
      <c r="A35" s="33"/>
      <c r="B35" s="33"/>
    </row>
    <row r="36" spans="1:2" x14ac:dyDescent="0.25">
      <c r="A36" s="33"/>
      <c r="B36" s="33"/>
    </row>
    <row r="37" spans="1:2" x14ac:dyDescent="0.25">
      <c r="A37" s="33"/>
      <c r="B37" s="33"/>
    </row>
    <row r="38" spans="1:2" x14ac:dyDescent="0.25">
      <c r="A38" s="33"/>
      <c r="B38" s="33"/>
    </row>
    <row r="39" spans="1:2" x14ac:dyDescent="0.25">
      <c r="A39" s="33"/>
      <c r="B39" s="33"/>
    </row>
    <row r="40" spans="1:2" x14ac:dyDescent="0.25">
      <c r="A40" s="33"/>
      <c r="B40" s="33"/>
    </row>
    <row r="41" spans="1:2" x14ac:dyDescent="0.25">
      <c r="A41" s="33"/>
      <c r="B41" s="33"/>
    </row>
    <row r="42" spans="1:2" x14ac:dyDescent="0.25">
      <c r="A42" s="33"/>
      <c r="B42" s="33"/>
    </row>
    <row r="43" spans="1:2" x14ac:dyDescent="0.25">
      <c r="A43" s="33"/>
      <c r="B43" s="33"/>
    </row>
    <row r="44" spans="1:2" x14ac:dyDescent="0.25">
      <c r="A44" s="33"/>
      <c r="B44" s="33"/>
    </row>
    <row r="45" spans="1:2" x14ac:dyDescent="0.25">
      <c r="A45" s="33"/>
      <c r="B45" s="33"/>
    </row>
    <row r="46" spans="1:2" x14ac:dyDescent="0.25">
      <c r="A46" s="33"/>
      <c r="B46" s="33"/>
    </row>
    <row r="47" spans="1:2" x14ac:dyDescent="0.25">
      <c r="A47" s="33"/>
      <c r="B47" s="33"/>
    </row>
    <row r="48" spans="1:2" x14ac:dyDescent="0.25">
      <c r="A48" s="33"/>
      <c r="B48" s="33"/>
    </row>
    <row r="49" spans="1:2" x14ac:dyDescent="0.25">
      <c r="A49" s="33"/>
      <c r="B49" s="33"/>
    </row>
    <row r="50" spans="1:2" x14ac:dyDescent="0.25">
      <c r="A50" s="33"/>
      <c r="B50" s="33"/>
    </row>
    <row r="51" spans="1:2" x14ac:dyDescent="0.25">
      <c r="A51" s="33"/>
      <c r="B51" s="33"/>
    </row>
    <row r="52" spans="1:2" x14ac:dyDescent="0.25">
      <c r="A52" s="33"/>
      <c r="B52" s="33"/>
    </row>
    <row r="53" spans="1:2" x14ac:dyDescent="0.25">
      <c r="A53" s="33"/>
      <c r="B53" s="33"/>
    </row>
    <row r="54" spans="1:2" x14ac:dyDescent="0.25">
      <c r="A54" s="33"/>
      <c r="B54" s="33"/>
    </row>
    <row r="55" spans="1:2" x14ac:dyDescent="0.25">
      <c r="A55" s="33"/>
      <c r="B55" s="33"/>
    </row>
    <row r="56" spans="1:2" x14ac:dyDescent="0.25">
      <c r="A56" s="33"/>
      <c r="B56" s="33"/>
    </row>
    <row r="57" spans="1:2" x14ac:dyDescent="0.25">
      <c r="A57" s="33"/>
      <c r="B57" s="33"/>
    </row>
    <row r="58" spans="1:2" x14ac:dyDescent="0.25">
      <c r="A58" s="33"/>
      <c r="B58" s="33"/>
    </row>
    <row r="59" spans="1:2" x14ac:dyDescent="0.25">
      <c r="A59" s="33"/>
      <c r="B59" s="33"/>
    </row>
    <row r="60" spans="1:2" x14ac:dyDescent="0.25">
      <c r="A60" s="33"/>
      <c r="B60" s="33"/>
    </row>
    <row r="61" spans="1:2" x14ac:dyDescent="0.25">
      <c r="A61" s="33"/>
      <c r="B61" s="33"/>
    </row>
    <row r="62" spans="1:2" x14ac:dyDescent="0.25">
      <c r="A62" s="33"/>
      <c r="B62" s="33"/>
    </row>
    <row r="63" spans="1:2" x14ac:dyDescent="0.25">
      <c r="A63" s="33"/>
      <c r="B63" s="33"/>
    </row>
    <row r="64" spans="1:2" x14ac:dyDescent="0.25">
      <c r="A64" s="33"/>
      <c r="B64" s="33"/>
    </row>
    <row r="65" spans="1:2" x14ac:dyDescent="0.25">
      <c r="A65" s="33"/>
      <c r="B65" s="33"/>
    </row>
    <row r="66" spans="1:2" x14ac:dyDescent="0.25">
      <c r="A66" s="33"/>
      <c r="B66" s="33"/>
    </row>
    <row r="67" spans="1:2" x14ac:dyDescent="0.25">
      <c r="A67" s="33"/>
      <c r="B67" s="33"/>
    </row>
    <row r="68" spans="1:2" x14ac:dyDescent="0.25">
      <c r="A68" s="33"/>
      <c r="B68" s="33"/>
    </row>
    <row r="69" spans="1:2" x14ac:dyDescent="0.25">
      <c r="A69" s="33"/>
      <c r="B69" s="33"/>
    </row>
    <row r="70" spans="1:2" x14ac:dyDescent="0.25">
      <c r="A70" s="33"/>
      <c r="B70" s="33"/>
    </row>
    <row r="71" spans="1:2" x14ac:dyDescent="0.25">
      <c r="A71" s="33"/>
      <c r="B71" s="33"/>
    </row>
    <row r="72" spans="1:2" x14ac:dyDescent="0.25">
      <c r="A72" s="33"/>
      <c r="B72" s="33"/>
    </row>
    <row r="73" spans="1:2" x14ac:dyDescent="0.25">
      <c r="A73" s="33"/>
      <c r="B73" s="33"/>
    </row>
    <row r="74" spans="1:2" x14ac:dyDescent="0.25">
      <c r="A74" s="33"/>
      <c r="B74" s="33"/>
    </row>
    <row r="75" spans="1:2" x14ac:dyDescent="0.25">
      <c r="A75" s="33"/>
      <c r="B75" s="33"/>
    </row>
    <row r="76" spans="1:2" x14ac:dyDescent="0.25">
      <c r="A76" s="33"/>
      <c r="B76" s="33"/>
    </row>
    <row r="77" spans="1:2" x14ac:dyDescent="0.25">
      <c r="A77" s="33"/>
      <c r="B77" s="33"/>
    </row>
    <row r="78" spans="1:2" x14ac:dyDescent="0.25">
      <c r="A78" s="33"/>
      <c r="B78" s="33"/>
    </row>
    <row r="79" spans="1:2" x14ac:dyDescent="0.25">
      <c r="A79" s="33"/>
      <c r="B79" s="33"/>
    </row>
    <row r="80" spans="1:2" x14ac:dyDescent="0.25">
      <c r="A80" s="33"/>
      <c r="B80" s="33"/>
    </row>
    <row r="81" spans="1:2" x14ac:dyDescent="0.25">
      <c r="A81" s="33"/>
      <c r="B81" s="33"/>
    </row>
    <row r="82" spans="1:2" x14ac:dyDescent="0.25">
      <c r="A82" s="33"/>
      <c r="B82" s="33"/>
    </row>
    <row r="83" spans="1:2" x14ac:dyDescent="0.25">
      <c r="A83" s="33"/>
      <c r="B83" s="33"/>
    </row>
    <row r="84" spans="1:2" x14ac:dyDescent="0.25">
      <c r="A84" s="33"/>
      <c r="B84" s="33"/>
    </row>
    <row r="85" spans="1:2" x14ac:dyDescent="0.25">
      <c r="A85" s="33"/>
      <c r="B85" s="33"/>
    </row>
    <row r="86" spans="1:2" x14ac:dyDescent="0.25">
      <c r="A86" s="33"/>
      <c r="B86" s="33"/>
    </row>
    <row r="87" spans="1:2" x14ac:dyDescent="0.25">
      <c r="A87" s="33"/>
      <c r="B87" s="33"/>
    </row>
    <row r="88" spans="1:2" x14ac:dyDescent="0.25">
      <c r="A88" s="33"/>
      <c r="B88" s="33"/>
    </row>
    <row r="89" spans="1:2" x14ac:dyDescent="0.25">
      <c r="A89" s="33"/>
      <c r="B89" s="33"/>
    </row>
    <row r="90" spans="1:2" x14ac:dyDescent="0.25">
      <c r="A90" s="33"/>
      <c r="B90" s="33"/>
    </row>
    <row r="91" spans="1:2" x14ac:dyDescent="0.25">
      <c r="A91" s="33"/>
      <c r="B91" s="33"/>
    </row>
    <row r="92" spans="1:2" x14ac:dyDescent="0.25">
      <c r="A92" s="33"/>
      <c r="B92" s="33"/>
    </row>
    <row r="93" spans="1:2" x14ac:dyDescent="0.25">
      <c r="A93" s="33"/>
      <c r="B93" s="33"/>
    </row>
    <row r="94" spans="1:2" x14ac:dyDescent="0.25">
      <c r="A94" s="33"/>
      <c r="B94" s="33"/>
    </row>
    <row r="95" spans="1:2" x14ac:dyDescent="0.25">
      <c r="A95" s="33"/>
      <c r="B95" s="33"/>
    </row>
    <row r="96" spans="1:2" x14ac:dyDescent="0.25">
      <c r="A96" s="33"/>
      <c r="B96" s="33"/>
    </row>
    <row r="97" spans="1:2" x14ac:dyDescent="0.25">
      <c r="A97" s="33"/>
      <c r="B97" s="33"/>
    </row>
    <row r="98" spans="1:2" x14ac:dyDescent="0.25">
      <c r="A98" s="33"/>
      <c r="B98" s="33"/>
    </row>
    <row r="99" spans="1:2" x14ac:dyDescent="0.25">
      <c r="A99" s="33"/>
      <c r="B99" s="33"/>
    </row>
    <row r="100" spans="1:2" x14ac:dyDescent="0.25">
      <c r="A100" s="33"/>
      <c r="B100" s="33"/>
    </row>
    <row r="101" spans="1:2" x14ac:dyDescent="0.25">
      <c r="A101" s="33"/>
      <c r="B101" s="33"/>
    </row>
    <row r="102" spans="1:2" x14ac:dyDescent="0.25">
      <c r="A102" s="33"/>
      <c r="B102" s="33"/>
    </row>
  </sheetData>
  <sortState xmlns:xlrd2="http://schemas.microsoft.com/office/spreadsheetml/2017/richdata2" ref="A2:G92">
    <sortCondition ref="A12:A92"/>
  </sortState>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01982-6386-4CA9-AFBC-4C6CED57E099}">
  <sheetPr codeName="Planilha4"/>
  <dimension ref="A1:V157"/>
  <sheetViews>
    <sheetView showGridLines="0" workbookViewId="0">
      <selection activeCell="L5" sqref="L5"/>
    </sheetView>
  </sheetViews>
  <sheetFormatPr defaultRowHeight="15" x14ac:dyDescent="0.25"/>
  <cols>
    <col min="1" max="1" width="10.7109375" style="82" bestFit="1" customWidth="1"/>
    <col min="2" max="2" width="9.42578125" bestFit="1" customWidth="1"/>
    <col min="3" max="3" width="8" bestFit="1" customWidth="1"/>
    <col min="4" max="4" width="4.28515625" bestFit="1" customWidth="1"/>
    <col min="5" max="5" width="6.28515625" bestFit="1" customWidth="1"/>
    <col min="6" max="6" width="8.5703125" style="179" bestFit="1" customWidth="1"/>
    <col min="7" max="7" width="7" bestFit="1" customWidth="1"/>
    <col min="8" max="8" width="11.42578125" bestFit="1" customWidth="1"/>
    <col min="9" max="9" width="5.85546875" bestFit="1" customWidth="1"/>
    <col min="10" max="10" width="14" bestFit="1" customWidth="1"/>
    <col min="11" max="11" width="10.28515625" bestFit="1" customWidth="1"/>
    <col min="12" max="12" width="15.85546875" bestFit="1" customWidth="1"/>
    <col min="13" max="13" width="9.28515625" bestFit="1" customWidth="1"/>
    <col min="14" max="14" width="11.5703125" bestFit="1" customWidth="1"/>
    <col min="15" max="15" width="10.85546875" bestFit="1" customWidth="1"/>
  </cols>
  <sheetData>
    <row r="1" spans="1:22" x14ac:dyDescent="0.25">
      <c r="A1" s="83" t="s">
        <v>10</v>
      </c>
      <c r="B1" s="31" t="s">
        <v>32</v>
      </c>
      <c r="C1" s="31" t="s">
        <v>35</v>
      </c>
      <c r="D1" s="31" t="s">
        <v>13</v>
      </c>
      <c r="E1" s="31" t="s">
        <v>3</v>
      </c>
      <c r="F1" s="181" t="s">
        <v>11</v>
      </c>
      <c r="G1" s="32" t="s">
        <v>12</v>
      </c>
      <c r="H1" s="32" t="s">
        <v>15</v>
      </c>
      <c r="I1" s="32" t="s">
        <v>16</v>
      </c>
      <c r="J1" s="32" t="s">
        <v>21</v>
      </c>
      <c r="K1" s="32" t="s">
        <v>39</v>
      </c>
      <c r="L1" s="32" t="s">
        <v>40</v>
      </c>
      <c r="M1" s="32" t="s">
        <v>41</v>
      </c>
      <c r="O1" s="1" t="e" vm="30">
        <v>#VALUE!</v>
      </c>
      <c r="P1" s="135" cm="1">
        <f t="array" aca="1" ref="P1" ca="1">_FV(O1,"Preço")</f>
        <v>6.1798000000000002</v>
      </c>
      <c r="S1" s="243" t="str" cm="1">
        <f t="array" aca="1" ref="S1" ca="1">IF(A2&lt;&gt;TODAY(),IF(ISNUMBER(G2),_xlfn.STOCKHISTORY($O$1,A2,A2,0,0,1),""),$P$1)</f>
        <v/>
      </c>
      <c r="T1" s="243" t="str">
        <f>IF(ISNUMBER($G2),G2*$J2,"")</f>
        <v/>
      </c>
      <c r="U1" s="243" t="str">
        <f>IF(ISNUMBER($G2),H2*$J2,"")</f>
        <v/>
      </c>
      <c r="V1" s="243" t="str">
        <f>IF(ISNUMBER($G2),I2*$J2,"")</f>
        <v/>
      </c>
    </row>
    <row r="2" spans="1:22" x14ac:dyDescent="0.25">
      <c r="J2" s="34"/>
      <c r="K2" s="34"/>
      <c r="L2" s="34"/>
      <c r="M2" s="34"/>
      <c r="N2" s="84"/>
    </row>
    <row r="3" spans="1:22" x14ac:dyDescent="0.25">
      <c r="J3" s="34"/>
      <c r="K3" s="34"/>
      <c r="L3" s="34"/>
      <c r="M3" s="34"/>
      <c r="N3" s="84"/>
    </row>
    <row r="4" spans="1:22" x14ac:dyDescent="0.25">
      <c r="J4" s="34"/>
      <c r="K4" s="34"/>
      <c r="L4" s="34"/>
      <c r="M4" s="34"/>
      <c r="N4" s="84"/>
    </row>
    <row r="5" spans="1:22" x14ac:dyDescent="0.25">
      <c r="J5" s="34"/>
      <c r="K5" s="34"/>
      <c r="L5" s="34"/>
      <c r="M5" s="34"/>
      <c r="N5" s="84"/>
    </row>
    <row r="6" spans="1:22" x14ac:dyDescent="0.25">
      <c r="J6" s="34"/>
      <c r="K6" s="34"/>
      <c r="L6" s="34"/>
      <c r="M6" s="34"/>
      <c r="N6" s="84"/>
    </row>
    <row r="7" spans="1:22" x14ac:dyDescent="0.25">
      <c r="J7" s="34"/>
      <c r="K7" s="34"/>
      <c r="L7" s="34"/>
      <c r="M7" s="34"/>
      <c r="N7" s="84"/>
    </row>
    <row r="8" spans="1:22" x14ac:dyDescent="0.25">
      <c r="J8" s="34"/>
      <c r="K8" s="34"/>
      <c r="L8" s="34"/>
      <c r="M8" s="34"/>
      <c r="N8" s="84"/>
    </row>
    <row r="9" spans="1:22" x14ac:dyDescent="0.25">
      <c r="J9" s="34"/>
      <c r="K9" s="34"/>
      <c r="L9" s="34"/>
      <c r="M9" s="34"/>
      <c r="N9" s="84"/>
    </row>
    <row r="10" spans="1:22" x14ac:dyDescent="0.25">
      <c r="J10" s="34"/>
      <c r="K10" s="34"/>
      <c r="L10" s="34"/>
      <c r="M10" s="34"/>
    </row>
    <row r="11" spans="1:22" x14ac:dyDescent="0.25">
      <c r="J11" s="34"/>
      <c r="K11" s="34"/>
      <c r="L11" s="34"/>
      <c r="M11" s="34"/>
    </row>
    <row r="12" spans="1:22" x14ac:dyDescent="0.25">
      <c r="J12" s="34"/>
      <c r="K12" s="34"/>
      <c r="L12" s="34"/>
      <c r="M12" s="34"/>
    </row>
    <row r="13" spans="1:22" x14ac:dyDescent="0.25">
      <c r="J13" s="34"/>
      <c r="K13" s="34"/>
      <c r="L13" s="34"/>
      <c r="M13" s="34"/>
    </row>
    <row r="14" spans="1:22" x14ac:dyDescent="0.25">
      <c r="J14" s="34"/>
      <c r="K14" s="34"/>
      <c r="L14" s="34"/>
      <c r="M14" s="34"/>
    </row>
    <row r="15" spans="1:22" x14ac:dyDescent="0.25">
      <c r="J15" s="34"/>
      <c r="K15" s="34"/>
      <c r="L15" s="34"/>
      <c r="M15" s="34"/>
    </row>
    <row r="16" spans="1:22" x14ac:dyDescent="0.25">
      <c r="J16" s="34"/>
      <c r="K16" s="34"/>
      <c r="L16" s="34"/>
      <c r="M16" s="34"/>
    </row>
    <row r="17" spans="10:13" x14ac:dyDescent="0.25">
      <c r="J17" s="34"/>
      <c r="K17" s="34"/>
      <c r="L17" s="34"/>
      <c r="M17" s="34"/>
    </row>
    <row r="18" spans="10:13" x14ac:dyDescent="0.25">
      <c r="J18" s="34"/>
      <c r="K18" s="34"/>
      <c r="L18" s="34"/>
      <c r="M18" s="34"/>
    </row>
    <row r="19" spans="10:13" x14ac:dyDescent="0.25">
      <c r="J19" s="34"/>
      <c r="K19" s="34"/>
      <c r="L19" s="34"/>
      <c r="M19" s="34"/>
    </row>
    <row r="20" spans="10:13" x14ac:dyDescent="0.25">
      <c r="J20" s="34"/>
      <c r="K20" s="34"/>
      <c r="L20" s="34"/>
      <c r="M20" s="34"/>
    </row>
    <row r="21" spans="10:13" x14ac:dyDescent="0.25">
      <c r="J21" s="34"/>
      <c r="K21" s="34"/>
      <c r="L21" s="34"/>
      <c r="M21" s="34"/>
    </row>
    <row r="22" spans="10:13" x14ac:dyDescent="0.25">
      <c r="J22" s="34"/>
      <c r="K22" s="34"/>
      <c r="L22" s="34"/>
      <c r="M22" s="34"/>
    </row>
    <row r="23" spans="10:13" x14ac:dyDescent="0.25">
      <c r="J23" s="34"/>
      <c r="K23" s="34"/>
      <c r="L23" s="34"/>
      <c r="M23" s="34"/>
    </row>
    <row r="24" spans="10:13" x14ac:dyDescent="0.25">
      <c r="J24" s="34"/>
      <c r="K24" s="34"/>
      <c r="L24" s="34"/>
      <c r="M24" s="34"/>
    </row>
    <row r="25" spans="10:13" x14ac:dyDescent="0.25">
      <c r="J25" s="34"/>
      <c r="K25" s="34"/>
      <c r="L25" s="34"/>
      <c r="M25" s="34"/>
    </row>
    <row r="26" spans="10:13" x14ac:dyDescent="0.25">
      <c r="J26" s="34"/>
      <c r="K26" s="34"/>
      <c r="L26" s="34"/>
      <c r="M26" s="34"/>
    </row>
    <row r="27" spans="10:13" x14ac:dyDescent="0.25">
      <c r="J27" s="34"/>
      <c r="K27" s="34"/>
      <c r="L27" s="34"/>
      <c r="M27" s="34"/>
    </row>
    <row r="28" spans="10:13" x14ac:dyDescent="0.25">
      <c r="J28" s="34"/>
      <c r="K28" s="34"/>
      <c r="L28" s="34"/>
      <c r="M28" s="34"/>
    </row>
    <row r="29" spans="10:13" x14ac:dyDescent="0.25">
      <c r="J29" s="34"/>
      <c r="K29" s="34"/>
      <c r="L29" s="34"/>
      <c r="M29" s="34"/>
    </row>
    <row r="30" spans="10:13" x14ac:dyDescent="0.25">
      <c r="J30" s="34"/>
      <c r="K30" s="34"/>
      <c r="L30" s="34"/>
      <c r="M30" s="34"/>
    </row>
    <row r="31" spans="10:13" x14ac:dyDescent="0.25">
      <c r="J31" s="34"/>
      <c r="K31" s="34"/>
      <c r="L31" s="34"/>
      <c r="M31" s="34"/>
    </row>
    <row r="32" spans="10:13" x14ac:dyDescent="0.25">
      <c r="J32" s="34"/>
      <c r="K32" s="34"/>
      <c r="L32" s="34"/>
      <c r="M32" s="34"/>
    </row>
    <row r="33" spans="10:14" x14ac:dyDescent="0.25">
      <c r="J33" s="34"/>
      <c r="K33" s="34"/>
      <c r="L33" s="34"/>
      <c r="M33" s="34"/>
    </row>
    <row r="34" spans="10:14" x14ac:dyDescent="0.25">
      <c r="J34" s="34"/>
      <c r="K34" s="34"/>
      <c r="L34" s="34"/>
      <c r="M34" s="34"/>
    </row>
    <row r="35" spans="10:14" x14ac:dyDescent="0.25">
      <c r="J35" s="34"/>
      <c r="K35" s="34"/>
      <c r="L35" s="34"/>
      <c r="M35" s="34"/>
    </row>
    <row r="36" spans="10:14" x14ac:dyDescent="0.25">
      <c r="J36" s="34"/>
      <c r="K36" s="34"/>
      <c r="L36" s="34"/>
      <c r="M36" s="34"/>
      <c r="N36" s="23"/>
    </row>
    <row r="37" spans="10:14" x14ac:dyDescent="0.25">
      <c r="J37" s="34"/>
      <c r="K37" s="34"/>
      <c r="L37" s="34"/>
      <c r="M37" s="34"/>
    </row>
    <row r="38" spans="10:14" x14ac:dyDescent="0.25">
      <c r="J38" s="34"/>
      <c r="K38" s="34"/>
      <c r="L38" s="34"/>
      <c r="M38" s="34"/>
    </row>
    <row r="39" spans="10:14" x14ac:dyDescent="0.25">
      <c r="J39" s="34"/>
      <c r="K39" s="34"/>
      <c r="L39" s="34"/>
      <c r="M39" s="34"/>
    </row>
    <row r="40" spans="10:14" x14ac:dyDescent="0.25">
      <c r="J40" s="34"/>
      <c r="K40" s="34"/>
      <c r="L40" s="34"/>
      <c r="M40" s="34"/>
    </row>
    <row r="41" spans="10:14" x14ac:dyDescent="0.25">
      <c r="J41" s="34"/>
      <c r="K41" s="34"/>
      <c r="L41" s="34"/>
      <c r="M41" s="34"/>
    </row>
    <row r="42" spans="10:14" x14ac:dyDescent="0.25">
      <c r="J42" s="34"/>
      <c r="K42" s="34"/>
      <c r="L42" s="34"/>
      <c r="M42" s="34"/>
    </row>
    <row r="43" spans="10:14" x14ac:dyDescent="0.25">
      <c r="J43" s="34"/>
      <c r="K43" s="34"/>
      <c r="L43" s="34"/>
      <c r="M43" s="34"/>
    </row>
    <row r="44" spans="10:14" x14ac:dyDescent="0.25">
      <c r="J44" s="34"/>
      <c r="K44" s="34"/>
      <c r="L44" s="34"/>
      <c r="M44" s="34"/>
    </row>
    <row r="45" spans="10:14" x14ac:dyDescent="0.25">
      <c r="J45" s="34"/>
      <c r="K45" s="34"/>
      <c r="L45" s="34"/>
      <c r="M45" s="34"/>
    </row>
    <row r="46" spans="10:14" x14ac:dyDescent="0.25">
      <c r="J46" s="34"/>
      <c r="K46" s="34"/>
      <c r="L46" s="34"/>
      <c r="M46" s="34"/>
    </row>
    <row r="47" spans="10:14" x14ac:dyDescent="0.25">
      <c r="J47" s="34"/>
      <c r="K47" s="34"/>
      <c r="L47" s="34"/>
      <c r="M47" s="34"/>
    </row>
    <row r="48" spans="10:14" x14ac:dyDescent="0.25">
      <c r="J48" s="34"/>
      <c r="K48" s="34"/>
      <c r="L48" s="34"/>
      <c r="M48" s="34"/>
    </row>
    <row r="49" spans="10:14" x14ac:dyDescent="0.25">
      <c r="J49" s="34"/>
      <c r="K49" s="34"/>
      <c r="L49" s="34"/>
      <c r="M49" s="34"/>
    </row>
    <row r="50" spans="10:14" x14ac:dyDescent="0.25">
      <c r="J50" s="34"/>
      <c r="K50" s="34"/>
      <c r="L50" s="34"/>
      <c r="M50" s="34"/>
    </row>
    <row r="51" spans="10:14" x14ac:dyDescent="0.25">
      <c r="J51" s="34"/>
      <c r="K51" s="34"/>
      <c r="L51" s="34"/>
      <c r="M51" s="34"/>
    </row>
    <row r="52" spans="10:14" x14ac:dyDescent="0.25">
      <c r="J52" s="34"/>
      <c r="K52" s="34"/>
      <c r="L52" s="34"/>
      <c r="M52" s="34"/>
    </row>
    <row r="53" spans="10:14" x14ac:dyDescent="0.25">
      <c r="J53" s="34"/>
      <c r="K53" s="34"/>
      <c r="L53" s="34"/>
      <c r="M53" s="34"/>
    </row>
    <row r="54" spans="10:14" x14ac:dyDescent="0.25">
      <c r="J54" s="34"/>
      <c r="K54" s="34"/>
      <c r="L54" s="34"/>
      <c r="M54" s="34"/>
    </row>
    <row r="55" spans="10:14" x14ac:dyDescent="0.25">
      <c r="J55" s="34"/>
      <c r="K55" s="34"/>
      <c r="L55" s="34"/>
      <c r="M55" s="34"/>
    </row>
    <row r="56" spans="10:14" x14ac:dyDescent="0.25">
      <c r="J56" s="34"/>
      <c r="K56" s="34"/>
      <c r="L56" s="34"/>
      <c r="M56" s="34"/>
      <c r="N56" s="180"/>
    </row>
    <row r="57" spans="10:14" x14ac:dyDescent="0.25">
      <c r="J57" s="34"/>
      <c r="K57" s="34"/>
      <c r="L57" s="34"/>
      <c r="M57" s="34"/>
    </row>
    <row r="58" spans="10:14" x14ac:dyDescent="0.25">
      <c r="J58" s="34"/>
      <c r="K58" s="34"/>
      <c r="L58" s="34"/>
      <c r="M58" s="34"/>
    </row>
    <row r="59" spans="10:14" x14ac:dyDescent="0.25">
      <c r="J59" s="34"/>
      <c r="K59" s="34"/>
      <c r="L59" s="34"/>
      <c r="M59" s="34"/>
    </row>
    <row r="60" spans="10:14" x14ac:dyDescent="0.25">
      <c r="J60" s="34"/>
      <c r="K60" s="34"/>
      <c r="L60" s="34"/>
      <c r="M60" s="34"/>
    </row>
    <row r="61" spans="10:14" x14ac:dyDescent="0.25">
      <c r="J61" s="34"/>
      <c r="K61" s="34"/>
      <c r="L61" s="34"/>
      <c r="M61" s="34"/>
    </row>
    <row r="62" spans="10:14" x14ac:dyDescent="0.25">
      <c r="J62" s="34"/>
      <c r="K62" s="34"/>
      <c r="L62" s="34"/>
      <c r="M62" s="34"/>
    </row>
    <row r="63" spans="10:14" x14ac:dyDescent="0.25">
      <c r="J63" s="34"/>
      <c r="K63" s="34"/>
      <c r="L63" s="34"/>
      <c r="M63" s="34"/>
      <c r="N63" s="179"/>
    </row>
    <row r="64" spans="10:14" x14ac:dyDescent="0.25">
      <c r="J64" s="34"/>
      <c r="K64" s="34"/>
      <c r="L64" s="34"/>
      <c r="M64" s="34"/>
    </row>
    <row r="65" spans="10:14" x14ac:dyDescent="0.25">
      <c r="J65" s="34"/>
      <c r="K65" s="34"/>
      <c r="L65" s="34"/>
      <c r="M65" s="34"/>
    </row>
    <row r="66" spans="10:14" x14ac:dyDescent="0.25">
      <c r="J66" s="34"/>
      <c r="K66" s="34"/>
      <c r="L66" s="34"/>
      <c r="M66" s="34"/>
      <c r="N66" s="179"/>
    </row>
    <row r="67" spans="10:14" x14ac:dyDescent="0.25">
      <c r="J67" s="34"/>
      <c r="K67" s="34"/>
      <c r="L67" s="34"/>
      <c r="M67" s="34"/>
    </row>
    <row r="68" spans="10:14" x14ac:dyDescent="0.25">
      <c r="J68" s="34"/>
      <c r="K68" s="34"/>
      <c r="L68" s="34"/>
      <c r="M68" s="34"/>
    </row>
    <row r="69" spans="10:14" x14ac:dyDescent="0.25">
      <c r="J69" s="34"/>
      <c r="K69" s="34"/>
      <c r="L69" s="34"/>
      <c r="M69" s="34"/>
    </row>
    <row r="70" spans="10:14" x14ac:dyDescent="0.25">
      <c r="J70" s="34"/>
      <c r="K70" s="34"/>
      <c r="L70" s="34"/>
      <c r="M70" s="34"/>
    </row>
    <row r="71" spans="10:14" x14ac:dyDescent="0.25">
      <c r="J71" s="34"/>
      <c r="K71" s="34"/>
      <c r="L71" s="34"/>
      <c r="M71" s="34"/>
    </row>
    <row r="72" spans="10:14" x14ac:dyDescent="0.25">
      <c r="J72" s="34"/>
      <c r="K72" s="34"/>
      <c r="L72" s="34"/>
      <c r="M72" s="34"/>
    </row>
    <row r="73" spans="10:14" x14ac:dyDescent="0.25">
      <c r="J73" s="34"/>
      <c r="K73" s="34"/>
      <c r="L73" s="34"/>
      <c r="M73" s="34"/>
    </row>
    <row r="74" spans="10:14" x14ac:dyDescent="0.25">
      <c r="J74" s="34"/>
      <c r="K74" s="34"/>
      <c r="L74" s="34"/>
      <c r="M74" s="34"/>
    </row>
    <row r="75" spans="10:14" x14ac:dyDescent="0.25">
      <c r="J75" s="34"/>
      <c r="K75" s="34"/>
      <c r="L75" s="34"/>
      <c r="M75" s="34"/>
    </row>
    <row r="76" spans="10:14" x14ac:dyDescent="0.25">
      <c r="J76" s="34"/>
      <c r="K76" s="34"/>
      <c r="L76" s="34"/>
      <c r="M76" s="34"/>
    </row>
    <row r="77" spans="10:14" x14ac:dyDescent="0.25">
      <c r="J77" s="34"/>
      <c r="K77" s="34"/>
      <c r="L77" s="34"/>
      <c r="M77" s="34"/>
    </row>
    <row r="78" spans="10:14" x14ac:dyDescent="0.25">
      <c r="J78" s="34"/>
      <c r="K78" s="34"/>
      <c r="L78" s="34"/>
      <c r="M78" s="34"/>
    </row>
    <row r="79" spans="10:14" x14ac:dyDescent="0.25">
      <c r="J79" s="34"/>
      <c r="K79" s="34"/>
      <c r="L79" s="34"/>
      <c r="M79" s="34"/>
    </row>
    <row r="80" spans="10:14" x14ac:dyDescent="0.25">
      <c r="J80" s="34"/>
      <c r="K80" s="34"/>
      <c r="L80" s="34"/>
      <c r="M80" s="34"/>
    </row>
    <row r="81" spans="10:13" x14ac:dyDescent="0.25">
      <c r="J81" s="34"/>
      <c r="K81" s="34"/>
      <c r="L81" s="34"/>
      <c r="M81" s="34"/>
    </row>
    <row r="82" spans="10:13" x14ac:dyDescent="0.25">
      <c r="J82" s="34"/>
      <c r="K82" s="34"/>
      <c r="L82" s="34"/>
      <c r="M82" s="34"/>
    </row>
    <row r="83" spans="10:13" x14ac:dyDescent="0.25">
      <c r="J83" s="34"/>
      <c r="K83" s="34"/>
      <c r="L83" s="34"/>
      <c r="M83" s="34"/>
    </row>
    <row r="84" spans="10:13" x14ac:dyDescent="0.25">
      <c r="J84" s="34"/>
      <c r="K84" s="34"/>
      <c r="L84" s="34"/>
      <c r="M84" s="34"/>
    </row>
    <row r="85" spans="10:13" x14ac:dyDescent="0.25">
      <c r="J85" s="34"/>
      <c r="K85" s="34"/>
      <c r="L85" s="34"/>
      <c r="M85" s="34"/>
    </row>
    <row r="86" spans="10:13" x14ac:dyDescent="0.25">
      <c r="J86" s="34"/>
      <c r="K86" s="34"/>
      <c r="L86" s="34"/>
      <c r="M86" s="34"/>
    </row>
    <row r="87" spans="10:13" x14ac:dyDescent="0.25">
      <c r="J87" s="34"/>
      <c r="K87" s="34"/>
      <c r="L87" s="34"/>
      <c r="M87" s="34"/>
    </row>
    <row r="88" spans="10:13" x14ac:dyDescent="0.25">
      <c r="J88" s="34"/>
      <c r="K88" s="34"/>
      <c r="L88" s="34"/>
      <c r="M88" s="34"/>
    </row>
    <row r="89" spans="10:13" x14ac:dyDescent="0.25">
      <c r="J89" s="34"/>
      <c r="K89" s="34"/>
      <c r="L89" s="34"/>
      <c r="M89" s="34"/>
    </row>
    <row r="90" spans="10:13" x14ac:dyDescent="0.25">
      <c r="J90" s="34"/>
      <c r="K90" s="34"/>
      <c r="L90" s="34"/>
      <c r="M90" s="34"/>
    </row>
    <row r="91" spans="10:13" x14ac:dyDescent="0.25">
      <c r="J91" s="34"/>
      <c r="K91" s="34"/>
      <c r="L91" s="34"/>
      <c r="M91" s="34"/>
    </row>
    <row r="92" spans="10:13" x14ac:dyDescent="0.25">
      <c r="J92" s="34"/>
      <c r="K92" s="34"/>
      <c r="L92" s="34"/>
      <c r="M92" s="34"/>
    </row>
    <row r="93" spans="10:13" x14ac:dyDescent="0.25">
      <c r="J93" s="34"/>
      <c r="K93" s="34"/>
      <c r="L93" s="34"/>
      <c r="M93" s="34"/>
    </row>
    <row r="94" spans="10:13" x14ac:dyDescent="0.25">
      <c r="J94" s="34"/>
      <c r="K94" s="34"/>
      <c r="L94" s="34"/>
      <c r="M94" s="34"/>
    </row>
    <row r="95" spans="10:13" x14ac:dyDescent="0.25">
      <c r="J95" s="34"/>
      <c r="K95" s="34"/>
      <c r="L95" s="34"/>
      <c r="M95" s="34"/>
    </row>
    <row r="96" spans="10:13" x14ac:dyDescent="0.25">
      <c r="J96" s="34"/>
      <c r="K96" s="34"/>
      <c r="L96" s="34"/>
      <c r="M96" s="34"/>
    </row>
    <row r="97" spans="10:13" x14ac:dyDescent="0.25">
      <c r="J97" s="34"/>
      <c r="K97" s="34"/>
      <c r="L97" s="34"/>
      <c r="M97" s="34"/>
    </row>
    <row r="98" spans="10:13" x14ac:dyDescent="0.25">
      <c r="J98" s="34"/>
      <c r="K98" s="34"/>
      <c r="L98" s="34"/>
      <c r="M98" s="34"/>
    </row>
    <row r="99" spans="10:13" x14ac:dyDescent="0.25">
      <c r="J99" s="34"/>
      <c r="K99" s="34"/>
      <c r="L99" s="34"/>
      <c r="M99" s="34"/>
    </row>
    <row r="100" spans="10:13" x14ac:dyDescent="0.25">
      <c r="J100" s="34"/>
      <c r="K100" s="34"/>
      <c r="L100" s="34"/>
      <c r="M100" s="34"/>
    </row>
    <row r="101" spans="10:13" x14ac:dyDescent="0.25">
      <c r="J101" s="34"/>
      <c r="K101" s="34"/>
      <c r="L101" s="34"/>
      <c r="M101" s="34"/>
    </row>
    <row r="102" spans="10:13" x14ac:dyDescent="0.25">
      <c r="J102" s="34"/>
      <c r="K102" s="34"/>
      <c r="L102" s="34"/>
      <c r="M102" s="34"/>
    </row>
    <row r="103" spans="10:13" x14ac:dyDescent="0.25">
      <c r="J103" s="34"/>
      <c r="K103" s="34"/>
      <c r="L103" s="34"/>
      <c r="M103" s="34"/>
    </row>
    <row r="104" spans="10:13" x14ac:dyDescent="0.25">
      <c r="J104" s="34"/>
      <c r="K104" s="34"/>
      <c r="L104" s="34"/>
      <c r="M104" s="34"/>
    </row>
    <row r="105" spans="10:13" x14ac:dyDescent="0.25">
      <c r="J105" s="34"/>
      <c r="K105" s="34"/>
      <c r="L105" s="34"/>
      <c r="M105" s="34"/>
    </row>
    <row r="106" spans="10:13" x14ac:dyDescent="0.25">
      <c r="J106" s="34"/>
      <c r="K106" s="34"/>
      <c r="L106" s="34"/>
      <c r="M106" s="34"/>
    </row>
    <row r="107" spans="10:13" x14ac:dyDescent="0.25">
      <c r="J107" s="34"/>
      <c r="K107" s="34"/>
      <c r="L107" s="34"/>
      <c r="M107" s="34"/>
    </row>
    <row r="108" spans="10:13" x14ac:dyDescent="0.25">
      <c r="J108" s="34"/>
      <c r="K108" s="34"/>
      <c r="L108" s="34"/>
      <c r="M108" s="34"/>
    </row>
    <row r="109" spans="10:13" x14ac:dyDescent="0.25">
      <c r="J109" s="34"/>
      <c r="K109" s="34"/>
      <c r="L109" s="34"/>
      <c r="M109" s="34"/>
    </row>
    <row r="110" spans="10:13" x14ac:dyDescent="0.25">
      <c r="J110" s="34"/>
      <c r="K110" s="34"/>
      <c r="L110" s="34"/>
      <c r="M110" s="34"/>
    </row>
    <row r="111" spans="10:13" x14ac:dyDescent="0.25">
      <c r="J111" s="34"/>
      <c r="K111" s="34"/>
      <c r="L111" s="34"/>
      <c r="M111" s="34"/>
    </row>
    <row r="112" spans="10:13" x14ac:dyDescent="0.25">
      <c r="J112" s="34"/>
      <c r="K112" s="34"/>
      <c r="L112" s="34"/>
      <c r="M112" s="34"/>
    </row>
    <row r="113" spans="10:13" x14ac:dyDescent="0.25">
      <c r="J113" s="34"/>
      <c r="K113" s="34"/>
      <c r="L113" s="34"/>
      <c r="M113" s="34"/>
    </row>
    <row r="114" spans="10:13" x14ac:dyDescent="0.25">
      <c r="J114" s="34"/>
      <c r="K114" s="34"/>
      <c r="L114" s="34"/>
      <c r="M114" s="34"/>
    </row>
    <row r="115" spans="10:13" x14ac:dyDescent="0.25">
      <c r="J115" s="34"/>
      <c r="K115" s="34"/>
      <c r="L115" s="34"/>
      <c r="M115" s="34"/>
    </row>
    <row r="116" spans="10:13" x14ac:dyDescent="0.25">
      <c r="J116" s="34"/>
      <c r="K116" s="34"/>
      <c r="L116" s="34"/>
      <c r="M116" s="34"/>
    </row>
    <row r="117" spans="10:13" x14ac:dyDescent="0.25">
      <c r="J117" s="34"/>
      <c r="K117" s="34"/>
      <c r="L117" s="34"/>
      <c r="M117" s="34"/>
    </row>
    <row r="118" spans="10:13" x14ac:dyDescent="0.25">
      <c r="J118" s="34"/>
      <c r="K118" s="34"/>
      <c r="L118" s="34"/>
      <c r="M118" s="34"/>
    </row>
    <row r="119" spans="10:13" x14ac:dyDescent="0.25">
      <c r="J119" s="34"/>
      <c r="K119" s="34"/>
      <c r="L119" s="34"/>
      <c r="M119" s="34"/>
    </row>
    <row r="120" spans="10:13" x14ac:dyDescent="0.25">
      <c r="J120" s="34"/>
      <c r="K120" s="34"/>
      <c r="L120" s="34"/>
      <c r="M120" s="34"/>
    </row>
    <row r="121" spans="10:13" x14ac:dyDescent="0.25">
      <c r="J121" s="34"/>
      <c r="K121" s="34"/>
      <c r="L121" s="34"/>
      <c r="M121" s="34"/>
    </row>
    <row r="122" spans="10:13" x14ac:dyDescent="0.25">
      <c r="J122" s="34"/>
      <c r="K122" s="34"/>
      <c r="L122" s="34"/>
      <c r="M122" s="34"/>
    </row>
    <row r="123" spans="10:13" x14ac:dyDescent="0.25">
      <c r="J123" s="34"/>
      <c r="K123" s="34"/>
      <c r="L123" s="34"/>
      <c r="M123" s="34"/>
    </row>
    <row r="124" spans="10:13" x14ac:dyDescent="0.25">
      <c r="J124" s="34"/>
      <c r="K124" s="34"/>
      <c r="L124" s="34"/>
      <c r="M124" s="34"/>
    </row>
    <row r="125" spans="10:13" x14ac:dyDescent="0.25">
      <c r="J125" s="34"/>
      <c r="K125" s="34"/>
      <c r="L125" s="34"/>
      <c r="M125" s="34"/>
    </row>
    <row r="126" spans="10:13" x14ac:dyDescent="0.25">
      <c r="J126" s="34"/>
      <c r="K126" s="34"/>
      <c r="L126" s="34"/>
      <c r="M126" s="34"/>
    </row>
    <row r="127" spans="10:13" x14ac:dyDescent="0.25">
      <c r="J127" s="34"/>
      <c r="K127" s="34"/>
      <c r="L127" s="34"/>
      <c r="M127" s="34"/>
    </row>
    <row r="128" spans="10:13" x14ac:dyDescent="0.25">
      <c r="J128" s="34"/>
      <c r="K128" s="34"/>
      <c r="L128" s="34"/>
      <c r="M128" s="34"/>
    </row>
    <row r="129" spans="10:13" x14ac:dyDescent="0.25">
      <c r="J129" s="34"/>
      <c r="K129" s="34"/>
      <c r="L129" s="34"/>
      <c r="M129" s="34"/>
    </row>
    <row r="130" spans="10:13" x14ac:dyDescent="0.25">
      <c r="J130" s="34"/>
      <c r="K130" s="34"/>
      <c r="L130" s="34"/>
      <c r="M130" s="34"/>
    </row>
    <row r="131" spans="10:13" x14ac:dyDescent="0.25">
      <c r="J131" s="34"/>
      <c r="K131" s="34"/>
      <c r="L131" s="34"/>
      <c r="M131" s="34"/>
    </row>
    <row r="132" spans="10:13" x14ac:dyDescent="0.25">
      <c r="J132" s="34"/>
      <c r="K132" s="34"/>
      <c r="L132" s="34"/>
      <c r="M132" s="34"/>
    </row>
    <row r="133" spans="10:13" x14ac:dyDescent="0.25">
      <c r="J133" s="34"/>
      <c r="K133" s="34"/>
      <c r="L133" s="34"/>
      <c r="M133" s="34"/>
    </row>
    <row r="134" spans="10:13" x14ac:dyDescent="0.25">
      <c r="J134" s="34"/>
      <c r="K134" s="34"/>
      <c r="L134" s="34"/>
      <c r="M134" s="34"/>
    </row>
    <row r="135" spans="10:13" x14ac:dyDescent="0.25">
      <c r="J135" s="34"/>
      <c r="K135" s="34"/>
      <c r="L135" s="34"/>
      <c r="M135" s="34"/>
    </row>
    <row r="136" spans="10:13" x14ac:dyDescent="0.25">
      <c r="J136" s="34"/>
      <c r="K136" s="34"/>
      <c r="L136" s="34"/>
      <c r="M136" s="34"/>
    </row>
    <row r="137" spans="10:13" x14ac:dyDescent="0.25">
      <c r="J137" s="34"/>
      <c r="K137" s="34"/>
      <c r="L137" s="34"/>
      <c r="M137" s="34"/>
    </row>
    <row r="138" spans="10:13" x14ac:dyDescent="0.25">
      <c r="J138" s="34"/>
      <c r="K138" s="34"/>
      <c r="L138" s="34"/>
      <c r="M138" s="34"/>
    </row>
    <row r="139" spans="10:13" x14ac:dyDescent="0.25">
      <c r="J139" s="34"/>
      <c r="K139" s="34"/>
      <c r="L139" s="34"/>
      <c r="M139" s="34"/>
    </row>
    <row r="140" spans="10:13" x14ac:dyDescent="0.25">
      <c r="J140" s="34"/>
      <c r="K140" s="34"/>
      <c r="L140" s="34"/>
      <c r="M140" s="34"/>
    </row>
    <row r="141" spans="10:13" x14ac:dyDescent="0.25">
      <c r="J141" s="34"/>
      <c r="K141" s="34"/>
      <c r="L141" s="34"/>
      <c r="M141" s="34"/>
    </row>
    <row r="142" spans="10:13" x14ac:dyDescent="0.25">
      <c r="J142" s="34"/>
      <c r="K142" s="34"/>
      <c r="L142" s="34"/>
      <c r="M142" s="34"/>
    </row>
    <row r="143" spans="10:13" x14ac:dyDescent="0.25">
      <c r="J143" s="34"/>
      <c r="K143" s="34"/>
      <c r="L143" s="34"/>
      <c r="M143" s="34"/>
    </row>
    <row r="144" spans="10:13" x14ac:dyDescent="0.25">
      <c r="J144" s="34"/>
      <c r="K144" s="34"/>
      <c r="L144" s="34"/>
      <c r="M144" s="34"/>
    </row>
    <row r="145" spans="10:13" x14ac:dyDescent="0.25">
      <c r="J145" s="34"/>
      <c r="K145" s="34"/>
      <c r="L145" s="34"/>
      <c r="M145" s="34"/>
    </row>
    <row r="146" spans="10:13" x14ac:dyDescent="0.25">
      <c r="J146" s="34"/>
      <c r="K146" s="34"/>
      <c r="L146" s="34"/>
      <c r="M146" s="34"/>
    </row>
    <row r="147" spans="10:13" x14ac:dyDescent="0.25">
      <c r="J147" s="34"/>
      <c r="K147" s="34"/>
      <c r="L147" s="34"/>
      <c r="M147" s="34"/>
    </row>
    <row r="148" spans="10:13" x14ac:dyDescent="0.25">
      <c r="J148" s="34"/>
      <c r="K148" s="34"/>
      <c r="L148" s="34"/>
      <c r="M148" s="34"/>
    </row>
    <row r="149" spans="10:13" x14ac:dyDescent="0.25">
      <c r="J149" s="34"/>
      <c r="K149" s="34"/>
      <c r="L149" s="34"/>
      <c r="M149" s="34"/>
    </row>
    <row r="150" spans="10:13" x14ac:dyDescent="0.25">
      <c r="J150" s="34"/>
      <c r="K150" s="34"/>
      <c r="L150" s="34"/>
      <c r="M150" s="34"/>
    </row>
    <row r="151" spans="10:13" x14ac:dyDescent="0.25">
      <c r="J151" s="34"/>
      <c r="K151" s="34"/>
      <c r="L151" s="34"/>
      <c r="M151" s="34"/>
    </row>
    <row r="152" spans="10:13" x14ac:dyDescent="0.25">
      <c r="J152" s="34"/>
      <c r="K152" s="34"/>
      <c r="L152" s="34"/>
      <c r="M152" s="34"/>
    </row>
    <row r="153" spans="10:13" x14ac:dyDescent="0.25">
      <c r="J153" s="34"/>
      <c r="K153" s="34"/>
      <c r="L153" s="34"/>
      <c r="M153" s="34"/>
    </row>
    <row r="154" spans="10:13" x14ac:dyDescent="0.25">
      <c r="J154" s="34"/>
      <c r="K154" s="34"/>
      <c r="L154" s="34"/>
      <c r="M154" s="34"/>
    </row>
    <row r="155" spans="10:13" x14ac:dyDescent="0.25">
      <c r="J155" s="34"/>
      <c r="K155" s="34"/>
      <c r="L155" s="34"/>
      <c r="M155" s="34"/>
    </row>
    <row r="156" spans="10:13" x14ac:dyDescent="0.25">
      <c r="J156" s="34"/>
      <c r="K156" s="34"/>
      <c r="L156" s="34"/>
      <c r="M156" s="34"/>
    </row>
    <row r="157" spans="10:13" x14ac:dyDescent="0.25">
      <c r="J157" s="34"/>
      <c r="K157" s="34"/>
      <c r="L157" s="34"/>
      <c r="M157" s="34"/>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EDAE9-5F73-43D9-98B7-0B9B36272618}">
  <sheetPr codeName="Planilha5"/>
  <dimension ref="A1:N91"/>
  <sheetViews>
    <sheetView showGridLines="0" workbookViewId="0">
      <selection activeCell="S26" sqref="S26"/>
    </sheetView>
  </sheetViews>
  <sheetFormatPr defaultRowHeight="15" x14ac:dyDescent="0.25"/>
  <cols>
    <col min="1" max="1" width="10.7109375" style="1" bestFit="1" customWidth="1"/>
    <col min="2" max="2" width="9.42578125" style="1" bestFit="1" customWidth="1"/>
    <col min="3" max="3" width="6.85546875" style="1" bestFit="1" customWidth="1"/>
    <col min="4" max="4" width="4.28515625" style="1" bestFit="1" customWidth="1"/>
    <col min="5" max="5" width="6.28515625" style="1" bestFit="1" customWidth="1"/>
    <col min="6" max="6" width="11" style="1" bestFit="1" customWidth="1"/>
    <col min="7" max="7" width="9.5703125" style="34" bestFit="1" customWidth="1"/>
    <col min="8" max="8" width="11.42578125" style="1" bestFit="1" customWidth="1"/>
    <col min="9" max="9" width="6.5703125" style="34" bestFit="1" customWidth="1"/>
    <col min="10" max="12" width="9.140625" style="1"/>
    <col min="13" max="13" width="10.85546875" style="1" bestFit="1" customWidth="1"/>
    <col min="14" max="14" width="9.140625" style="1"/>
    <col min="15" max="16" width="12" style="1" bestFit="1" customWidth="1"/>
    <col min="17" max="16384" width="9.140625" style="1"/>
  </cols>
  <sheetData>
    <row r="1" spans="1:14" x14ac:dyDescent="0.25">
      <c r="A1" s="31" t="s">
        <v>10</v>
      </c>
      <c r="B1" s="31" t="s">
        <v>32</v>
      </c>
      <c r="C1" s="31" t="s">
        <v>35</v>
      </c>
      <c r="D1" s="31" t="s">
        <v>13</v>
      </c>
      <c r="E1" s="31" t="s">
        <v>3</v>
      </c>
      <c r="F1" s="31" t="s">
        <v>11</v>
      </c>
      <c r="G1" s="32" t="s">
        <v>12</v>
      </c>
      <c r="H1" s="32" t="s">
        <v>15</v>
      </c>
      <c r="I1" s="32" t="s">
        <v>16</v>
      </c>
      <c r="N1" s="39"/>
    </row>
    <row r="2" spans="1:14" x14ac:dyDescent="0.25">
      <c r="A2" s="33"/>
      <c r="B2" s="33"/>
      <c r="H2" s="34"/>
      <c r="L2" s="34"/>
    </row>
    <row r="3" spans="1:14" x14ac:dyDescent="0.25">
      <c r="A3" s="33"/>
      <c r="B3" s="33"/>
      <c r="H3" s="34"/>
    </row>
    <row r="4" spans="1:14" x14ac:dyDescent="0.25">
      <c r="A4" s="33"/>
      <c r="B4" s="33"/>
      <c r="H4" s="34"/>
    </row>
    <row r="5" spans="1:14" x14ac:dyDescent="0.25">
      <c r="A5" s="33"/>
      <c r="B5" s="33"/>
      <c r="H5" s="34"/>
    </row>
    <row r="6" spans="1:14" x14ac:dyDescent="0.25">
      <c r="A6" s="33"/>
      <c r="B6" s="33"/>
      <c r="H6" s="34"/>
      <c r="K6" s="34"/>
      <c r="L6" s="34"/>
      <c r="M6" s="34"/>
    </row>
    <row r="7" spans="1:14" x14ac:dyDescent="0.25">
      <c r="A7" s="33"/>
      <c r="B7" s="33"/>
      <c r="H7" s="34"/>
      <c r="K7" s="34"/>
      <c r="L7" s="34"/>
      <c r="M7" s="34"/>
    </row>
    <row r="8" spans="1:14" x14ac:dyDescent="0.25">
      <c r="A8" s="33"/>
      <c r="B8" s="33"/>
      <c r="H8" s="34"/>
      <c r="K8" s="34"/>
      <c r="L8" s="34"/>
      <c r="M8" s="34"/>
    </row>
    <row r="9" spans="1:14" x14ac:dyDescent="0.25">
      <c r="A9" s="33"/>
      <c r="B9" s="33"/>
      <c r="H9" s="34"/>
      <c r="K9" s="34"/>
      <c r="L9" s="34"/>
      <c r="M9" s="34"/>
    </row>
    <row r="10" spans="1:14" x14ac:dyDescent="0.25">
      <c r="A10" s="33"/>
      <c r="B10" s="33"/>
      <c r="H10" s="34"/>
    </row>
    <row r="11" spans="1:14" x14ac:dyDescent="0.25">
      <c r="A11" s="33"/>
      <c r="B11" s="33"/>
      <c r="H11" s="34"/>
    </row>
    <row r="12" spans="1:14" x14ac:dyDescent="0.25">
      <c r="A12" s="33"/>
      <c r="B12" s="33"/>
      <c r="H12" s="34"/>
    </row>
    <row r="13" spans="1:14" x14ac:dyDescent="0.25">
      <c r="A13" s="33"/>
      <c r="B13" s="33"/>
      <c r="H13" s="34"/>
    </row>
    <row r="14" spans="1:14" x14ac:dyDescent="0.25">
      <c r="A14" s="33"/>
      <c r="B14" s="33"/>
      <c r="H14" s="34"/>
    </row>
    <row r="15" spans="1:14" x14ac:dyDescent="0.25">
      <c r="A15" s="33"/>
      <c r="B15" s="33"/>
      <c r="H15" s="34"/>
    </row>
    <row r="16" spans="1:14" x14ac:dyDescent="0.25">
      <c r="A16" s="33"/>
      <c r="B16" s="33"/>
      <c r="H16" s="34"/>
    </row>
    <row r="17" spans="1:8" x14ac:dyDescent="0.25">
      <c r="A17" s="33"/>
      <c r="B17" s="33"/>
      <c r="H17" s="34"/>
    </row>
    <row r="18" spans="1:8" x14ac:dyDescent="0.25">
      <c r="A18" s="33"/>
      <c r="B18" s="33"/>
      <c r="H18" s="34"/>
    </row>
    <row r="19" spans="1:8" x14ac:dyDescent="0.25">
      <c r="A19" s="33"/>
      <c r="B19" s="33"/>
      <c r="H19" s="34"/>
    </row>
    <row r="20" spans="1:8" x14ac:dyDescent="0.25">
      <c r="A20" s="33"/>
      <c r="B20" s="33"/>
      <c r="H20" s="34"/>
    </row>
    <row r="21" spans="1:8" x14ac:dyDescent="0.25">
      <c r="A21" s="33"/>
      <c r="B21" s="33"/>
      <c r="H21" s="34"/>
    </row>
    <row r="22" spans="1:8" x14ac:dyDescent="0.25">
      <c r="A22" s="33"/>
      <c r="B22" s="33"/>
      <c r="H22" s="34"/>
    </row>
    <row r="23" spans="1:8" x14ac:dyDescent="0.25">
      <c r="A23" s="33"/>
      <c r="B23" s="33"/>
      <c r="H23" s="34"/>
    </row>
    <row r="24" spans="1:8" x14ac:dyDescent="0.25">
      <c r="A24" s="33"/>
      <c r="B24" s="33"/>
      <c r="H24" s="34"/>
    </row>
    <row r="25" spans="1:8" x14ac:dyDescent="0.25">
      <c r="A25" s="33"/>
      <c r="B25" s="33"/>
      <c r="H25" s="34"/>
    </row>
    <row r="26" spans="1:8" x14ac:dyDescent="0.25">
      <c r="A26" s="33"/>
      <c r="B26" s="33"/>
      <c r="H26" s="34"/>
    </row>
    <row r="27" spans="1:8" x14ac:dyDescent="0.25">
      <c r="A27" s="33"/>
      <c r="B27" s="33"/>
      <c r="H27" s="34"/>
    </row>
    <row r="28" spans="1:8" x14ac:dyDescent="0.25">
      <c r="A28" s="33"/>
      <c r="B28" s="33"/>
      <c r="H28" s="34"/>
    </row>
    <row r="29" spans="1:8" x14ac:dyDescent="0.25">
      <c r="A29" s="33"/>
      <c r="B29" s="33"/>
      <c r="H29" s="34"/>
    </row>
    <row r="30" spans="1:8" x14ac:dyDescent="0.25">
      <c r="A30" s="33"/>
      <c r="B30" s="33"/>
      <c r="H30" s="34"/>
    </row>
    <row r="31" spans="1:8" x14ac:dyDescent="0.25">
      <c r="A31" s="33"/>
      <c r="B31" s="33"/>
      <c r="H31" s="34"/>
    </row>
    <row r="32" spans="1:8" x14ac:dyDescent="0.25">
      <c r="A32" s="33"/>
      <c r="B32" s="33"/>
      <c r="H32" s="34"/>
    </row>
    <row r="33" spans="1:8" x14ac:dyDescent="0.25">
      <c r="A33" s="33"/>
      <c r="B33" s="33"/>
      <c r="H33" s="34"/>
    </row>
    <row r="34" spans="1:8" x14ac:dyDescent="0.25">
      <c r="A34" s="33"/>
      <c r="B34" s="33"/>
    </row>
    <row r="35" spans="1:8" x14ac:dyDescent="0.25">
      <c r="A35" s="33"/>
      <c r="B35" s="33"/>
    </row>
    <row r="36" spans="1:8" x14ac:dyDescent="0.25">
      <c r="A36" s="33"/>
      <c r="B36" s="33"/>
    </row>
    <row r="37" spans="1:8" x14ac:dyDescent="0.25">
      <c r="A37" s="33"/>
      <c r="B37" s="33"/>
    </row>
    <row r="38" spans="1:8" x14ac:dyDescent="0.25">
      <c r="A38" s="33"/>
      <c r="B38" s="33"/>
    </row>
    <row r="39" spans="1:8" x14ac:dyDescent="0.25">
      <c r="A39" s="33"/>
      <c r="B39" s="33"/>
    </row>
    <row r="40" spans="1:8" x14ac:dyDescent="0.25">
      <c r="A40" s="33"/>
      <c r="B40" s="33"/>
    </row>
    <row r="41" spans="1:8" x14ac:dyDescent="0.25">
      <c r="A41" s="33"/>
      <c r="B41" s="33"/>
    </row>
    <row r="42" spans="1:8" x14ac:dyDescent="0.25">
      <c r="A42" s="33"/>
      <c r="B42" s="33"/>
    </row>
    <row r="43" spans="1:8" x14ac:dyDescent="0.25">
      <c r="A43" s="33"/>
      <c r="B43" s="33"/>
    </row>
    <row r="44" spans="1:8" x14ac:dyDescent="0.25">
      <c r="A44" s="33"/>
      <c r="B44" s="33"/>
    </row>
    <row r="45" spans="1:8" x14ac:dyDescent="0.25">
      <c r="A45" s="33"/>
      <c r="B45" s="33"/>
    </row>
    <row r="46" spans="1:8" x14ac:dyDescent="0.25">
      <c r="A46" s="33"/>
      <c r="B46" s="33"/>
    </row>
    <row r="47" spans="1:8" x14ac:dyDescent="0.25">
      <c r="A47" s="33"/>
      <c r="B47" s="33"/>
    </row>
    <row r="48" spans="1:8" x14ac:dyDescent="0.25">
      <c r="A48" s="33"/>
      <c r="B48" s="33"/>
    </row>
    <row r="49" spans="1:2" x14ac:dyDescent="0.25">
      <c r="A49" s="33"/>
      <c r="B49" s="33"/>
    </row>
    <row r="50" spans="1:2" x14ac:dyDescent="0.25">
      <c r="A50" s="33"/>
      <c r="B50" s="33"/>
    </row>
    <row r="51" spans="1:2" x14ac:dyDescent="0.25">
      <c r="A51" s="33"/>
      <c r="B51" s="33"/>
    </row>
    <row r="52" spans="1:2" x14ac:dyDescent="0.25">
      <c r="A52" s="33"/>
      <c r="B52" s="33"/>
    </row>
    <row r="53" spans="1:2" x14ac:dyDescent="0.25">
      <c r="A53" s="33"/>
      <c r="B53" s="33"/>
    </row>
    <row r="54" spans="1:2" x14ac:dyDescent="0.25">
      <c r="A54" s="33"/>
      <c r="B54" s="33"/>
    </row>
    <row r="55" spans="1:2" x14ac:dyDescent="0.25">
      <c r="A55" s="33"/>
      <c r="B55" s="33"/>
    </row>
    <row r="56" spans="1:2" x14ac:dyDescent="0.25">
      <c r="A56" s="33"/>
      <c r="B56" s="33"/>
    </row>
    <row r="57" spans="1:2" x14ac:dyDescent="0.25">
      <c r="A57" s="33"/>
      <c r="B57" s="33"/>
    </row>
    <row r="58" spans="1:2" x14ac:dyDescent="0.25">
      <c r="A58" s="33"/>
      <c r="B58" s="33"/>
    </row>
    <row r="59" spans="1:2" x14ac:dyDescent="0.25">
      <c r="A59" s="33"/>
      <c r="B59" s="33"/>
    </row>
    <row r="60" spans="1:2" x14ac:dyDescent="0.25">
      <c r="A60" s="33"/>
      <c r="B60" s="33"/>
    </row>
    <row r="61" spans="1:2" x14ac:dyDescent="0.25">
      <c r="A61" s="33"/>
      <c r="B61" s="33"/>
    </row>
    <row r="62" spans="1:2" x14ac:dyDescent="0.25">
      <c r="A62" s="33"/>
      <c r="B62" s="33"/>
    </row>
    <row r="63" spans="1:2" x14ac:dyDescent="0.25">
      <c r="A63" s="33"/>
      <c r="B63" s="33"/>
    </row>
    <row r="64" spans="1:2" x14ac:dyDescent="0.25">
      <c r="A64" s="33"/>
      <c r="B64" s="33"/>
    </row>
    <row r="65" spans="1:2" x14ac:dyDescent="0.25">
      <c r="A65" s="33"/>
      <c r="B65" s="33"/>
    </row>
    <row r="66" spans="1:2" x14ac:dyDescent="0.25">
      <c r="A66" s="33"/>
      <c r="B66" s="33"/>
    </row>
    <row r="67" spans="1:2" x14ac:dyDescent="0.25">
      <c r="A67" s="33"/>
      <c r="B67" s="33"/>
    </row>
    <row r="68" spans="1:2" x14ac:dyDescent="0.25">
      <c r="A68" s="33"/>
      <c r="B68" s="33"/>
    </row>
    <row r="69" spans="1:2" x14ac:dyDescent="0.25">
      <c r="A69" s="33"/>
      <c r="B69" s="33"/>
    </row>
    <row r="70" spans="1:2" x14ac:dyDescent="0.25">
      <c r="A70" s="33"/>
      <c r="B70" s="33"/>
    </row>
    <row r="71" spans="1:2" x14ac:dyDescent="0.25">
      <c r="A71" s="33"/>
      <c r="B71" s="33"/>
    </row>
    <row r="72" spans="1:2" x14ac:dyDescent="0.25">
      <c r="A72" s="33"/>
      <c r="B72" s="33"/>
    </row>
    <row r="73" spans="1:2" x14ac:dyDescent="0.25">
      <c r="A73" s="33"/>
      <c r="B73" s="33"/>
    </row>
    <row r="74" spans="1:2" x14ac:dyDescent="0.25">
      <c r="A74" s="33"/>
      <c r="B74" s="33"/>
    </row>
    <row r="75" spans="1:2" x14ac:dyDescent="0.25">
      <c r="A75" s="33"/>
      <c r="B75" s="33"/>
    </row>
    <row r="76" spans="1:2" x14ac:dyDescent="0.25">
      <c r="A76" s="33"/>
      <c r="B76" s="33"/>
    </row>
    <row r="77" spans="1:2" x14ac:dyDescent="0.25">
      <c r="A77" s="33"/>
      <c r="B77" s="33"/>
    </row>
    <row r="78" spans="1:2" x14ac:dyDescent="0.25">
      <c r="A78" s="33"/>
      <c r="B78" s="33"/>
    </row>
    <row r="79" spans="1:2" x14ac:dyDescent="0.25">
      <c r="A79" s="33"/>
      <c r="B79" s="33"/>
    </row>
    <row r="80" spans="1:2" x14ac:dyDescent="0.25">
      <c r="A80" s="33"/>
      <c r="B80" s="33"/>
    </row>
    <row r="81" spans="1:2" x14ac:dyDescent="0.25">
      <c r="A81" s="33"/>
      <c r="B81" s="33"/>
    </row>
    <row r="82" spans="1:2" x14ac:dyDescent="0.25">
      <c r="A82" s="33"/>
      <c r="B82" s="33"/>
    </row>
    <row r="83" spans="1:2" x14ac:dyDescent="0.25">
      <c r="A83" s="33"/>
      <c r="B83" s="33"/>
    </row>
    <row r="84" spans="1:2" x14ac:dyDescent="0.25">
      <c r="A84" s="33"/>
      <c r="B84" s="33"/>
    </row>
    <row r="85" spans="1:2" x14ac:dyDescent="0.25">
      <c r="A85" s="33"/>
      <c r="B85" s="33"/>
    </row>
    <row r="86" spans="1:2" x14ac:dyDescent="0.25">
      <c r="A86" s="33"/>
      <c r="B86" s="33"/>
    </row>
    <row r="87" spans="1:2" x14ac:dyDescent="0.25">
      <c r="A87" s="33"/>
      <c r="B87" s="33"/>
    </row>
    <row r="88" spans="1:2" x14ac:dyDescent="0.25">
      <c r="A88" s="33"/>
      <c r="B88" s="33"/>
    </row>
    <row r="89" spans="1:2" x14ac:dyDescent="0.25">
      <c r="A89" s="33"/>
      <c r="B89" s="33"/>
    </row>
    <row r="90" spans="1:2" x14ac:dyDescent="0.25">
      <c r="A90" s="33"/>
      <c r="B90" s="33"/>
    </row>
    <row r="91" spans="1:2" x14ac:dyDescent="0.25">
      <c r="A91" s="33"/>
      <c r="B91" s="33"/>
    </row>
  </sheetData>
  <sortState xmlns:xlrd2="http://schemas.microsoft.com/office/spreadsheetml/2017/richdata2" ref="A2:I33">
    <sortCondition ref="A4:A33"/>
  </sortState>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C4159-0FE6-4FDD-8F3C-F154767F850D}">
  <sheetPr codeName="Planilha8"/>
  <dimension ref="A1:B2873"/>
  <sheetViews>
    <sheetView topLeftCell="A2769" workbookViewId="0">
      <selection activeCell="B2773" sqref="B2773"/>
    </sheetView>
  </sheetViews>
  <sheetFormatPr defaultRowHeight="15" x14ac:dyDescent="0.25"/>
  <cols>
    <col min="1" max="1" width="17.28515625" bestFit="1" customWidth="1"/>
    <col min="2" max="2" width="11" bestFit="1" customWidth="1"/>
  </cols>
  <sheetData>
    <row r="1" spans="1:2" x14ac:dyDescent="0.25">
      <c r="A1" t="s">
        <v>43</v>
      </c>
      <c r="B1" t="s">
        <v>44</v>
      </c>
    </row>
    <row r="2" spans="1:2" x14ac:dyDescent="0.25">
      <c r="A2" t="s">
        <v>42</v>
      </c>
      <c r="B2">
        <v>3.6110000000000003E-2</v>
      </c>
    </row>
    <row r="3" spans="1:2" x14ac:dyDescent="0.25">
      <c r="A3" t="s">
        <v>45</v>
      </c>
      <c r="B3">
        <v>1.072E-3</v>
      </c>
    </row>
    <row r="4" spans="1:2" x14ac:dyDescent="0.25">
      <c r="A4" t="s">
        <v>46</v>
      </c>
      <c r="B4">
        <v>7.5300000000000002E-3</v>
      </c>
    </row>
    <row r="5" spans="1:2" x14ac:dyDescent="0.25">
      <c r="A5" t="s">
        <v>47</v>
      </c>
      <c r="B5">
        <v>1.4970000000000001E-4</v>
      </c>
    </row>
    <row r="6" spans="1:2" x14ac:dyDescent="0.25">
      <c r="A6" t="s">
        <v>48</v>
      </c>
      <c r="B6">
        <v>9.19E-4</v>
      </c>
    </row>
    <row r="7" spans="1:2" x14ac:dyDescent="0.25">
      <c r="A7" t="s">
        <v>49</v>
      </c>
      <c r="B7">
        <v>2.318E-4</v>
      </c>
    </row>
    <row r="8" spans="1:2" x14ac:dyDescent="0.25">
      <c r="A8" t="s">
        <v>50</v>
      </c>
      <c r="B8">
        <v>1.225E-5</v>
      </c>
    </row>
    <row r="9" spans="1:2" x14ac:dyDescent="0.25">
      <c r="A9" t="s">
        <v>51</v>
      </c>
      <c r="B9">
        <v>2.0259999999999999E-4</v>
      </c>
    </row>
    <row r="10" spans="1:2" x14ac:dyDescent="0.25">
      <c r="A10" t="s">
        <v>52</v>
      </c>
      <c r="B10">
        <v>0</v>
      </c>
    </row>
    <row r="11" spans="1:2" x14ac:dyDescent="0.25">
      <c r="A11" t="s">
        <v>53</v>
      </c>
      <c r="B11">
        <v>4.8999999999999998E-5</v>
      </c>
    </row>
    <row r="12" spans="1:2" x14ac:dyDescent="0.25">
      <c r="A12" t="s">
        <v>54</v>
      </c>
      <c r="B12">
        <v>0.20849999999999999</v>
      </c>
    </row>
    <row r="13" spans="1:2" x14ac:dyDescent="0.25">
      <c r="A13" t="s">
        <v>55</v>
      </c>
      <c r="B13">
        <v>93977.05</v>
      </c>
    </row>
    <row r="14" spans="1:2" x14ac:dyDescent="0.25">
      <c r="A14" t="s">
        <v>56</v>
      </c>
      <c r="B14">
        <v>3393.77</v>
      </c>
    </row>
    <row r="15" spans="1:2" x14ac:dyDescent="0.25">
      <c r="A15" t="s">
        <v>57</v>
      </c>
      <c r="B15">
        <v>0</v>
      </c>
    </row>
    <row r="16" spans="1:2" x14ac:dyDescent="0.25">
      <c r="A16" t="s">
        <v>58</v>
      </c>
      <c r="B16">
        <v>0</v>
      </c>
    </row>
    <row r="17" spans="1:2" x14ac:dyDescent="0.25">
      <c r="A17" t="s">
        <v>59</v>
      </c>
      <c r="B17">
        <v>0</v>
      </c>
    </row>
    <row r="18" spans="1:2" x14ac:dyDescent="0.25">
      <c r="A18" t="s">
        <v>60</v>
      </c>
      <c r="B18">
        <v>0</v>
      </c>
    </row>
    <row r="19" spans="1:2" x14ac:dyDescent="0.25">
      <c r="A19" t="s">
        <v>61</v>
      </c>
      <c r="B19">
        <v>0</v>
      </c>
    </row>
    <row r="20" spans="1:2" x14ac:dyDescent="0.25">
      <c r="A20" t="s">
        <v>62</v>
      </c>
      <c r="B20">
        <v>0</v>
      </c>
    </row>
    <row r="21" spans="1:2" x14ac:dyDescent="0.25">
      <c r="A21" t="s">
        <v>63</v>
      </c>
      <c r="B21">
        <v>2.3999999999999998E-7</v>
      </c>
    </row>
    <row r="22" spans="1:2" x14ac:dyDescent="0.25">
      <c r="A22" t="s">
        <v>64</v>
      </c>
      <c r="B22">
        <v>0</v>
      </c>
    </row>
    <row r="23" spans="1:2" x14ac:dyDescent="0.25">
      <c r="A23" t="s">
        <v>65</v>
      </c>
      <c r="B23">
        <v>2.1500000000000002E-6</v>
      </c>
    </row>
    <row r="24" spans="1:2" x14ac:dyDescent="0.25">
      <c r="A24" t="s">
        <v>66</v>
      </c>
      <c r="B24">
        <v>5.9500000000000003E-5</v>
      </c>
    </row>
    <row r="25" spans="1:2" x14ac:dyDescent="0.25">
      <c r="A25" t="s">
        <v>67</v>
      </c>
      <c r="B25">
        <v>3.3120000000000001E-5</v>
      </c>
    </row>
    <row r="26" spans="1:2" x14ac:dyDescent="0.25">
      <c r="A26" t="s">
        <v>68</v>
      </c>
      <c r="B26">
        <v>0</v>
      </c>
    </row>
    <row r="27" spans="1:2" x14ac:dyDescent="0.25">
      <c r="A27" t="s">
        <v>69</v>
      </c>
      <c r="B27">
        <v>3.0800000000000003E-5</v>
      </c>
    </row>
    <row r="28" spans="1:2" x14ac:dyDescent="0.25">
      <c r="A28" t="s">
        <v>70</v>
      </c>
      <c r="B28">
        <v>7.9100000000000004E-4</v>
      </c>
    </row>
    <row r="29" spans="1:2" x14ac:dyDescent="0.25">
      <c r="A29" t="s">
        <v>71</v>
      </c>
      <c r="B29">
        <v>5.0499999999999999E-6</v>
      </c>
    </row>
    <row r="30" spans="1:2" x14ac:dyDescent="0.25">
      <c r="A30" t="s">
        <v>72</v>
      </c>
      <c r="B30">
        <v>9.9400000000000004E-5</v>
      </c>
    </row>
    <row r="31" spans="1:2" x14ac:dyDescent="0.25">
      <c r="A31" t="s">
        <v>73</v>
      </c>
      <c r="B31">
        <v>0</v>
      </c>
    </row>
    <row r="32" spans="1:2" x14ac:dyDescent="0.25">
      <c r="A32" t="s">
        <v>74</v>
      </c>
      <c r="B32">
        <v>0</v>
      </c>
    </row>
    <row r="33" spans="1:2" x14ac:dyDescent="0.25">
      <c r="A33" t="s">
        <v>75</v>
      </c>
      <c r="B33">
        <v>0</v>
      </c>
    </row>
    <row r="34" spans="1:2" x14ac:dyDescent="0.25">
      <c r="A34" t="s">
        <v>76</v>
      </c>
      <c r="B34">
        <v>0</v>
      </c>
    </row>
    <row r="35" spans="1:2" x14ac:dyDescent="0.25">
      <c r="A35" t="s">
        <v>77</v>
      </c>
      <c r="B35">
        <v>0</v>
      </c>
    </row>
    <row r="36" spans="1:2" x14ac:dyDescent="0.25">
      <c r="A36" t="s">
        <v>78</v>
      </c>
      <c r="B36">
        <v>0</v>
      </c>
    </row>
    <row r="37" spans="1:2" x14ac:dyDescent="0.25">
      <c r="A37" t="s">
        <v>79</v>
      </c>
      <c r="B37">
        <v>6.0000000000000002E-6</v>
      </c>
    </row>
    <row r="38" spans="1:2" x14ac:dyDescent="0.25">
      <c r="A38" t="s">
        <v>80</v>
      </c>
      <c r="B38">
        <v>3.9409999999999998E-4</v>
      </c>
    </row>
    <row r="39" spans="1:2" x14ac:dyDescent="0.25">
      <c r="A39" t="s">
        <v>81</v>
      </c>
      <c r="B39">
        <v>0</v>
      </c>
    </row>
    <row r="40" spans="1:2" x14ac:dyDescent="0.25">
      <c r="A40" t="s">
        <v>82</v>
      </c>
      <c r="B40">
        <v>1.46E-6</v>
      </c>
    </row>
    <row r="41" spans="1:2" x14ac:dyDescent="0.25">
      <c r="A41" t="s">
        <v>83</v>
      </c>
      <c r="B41">
        <v>5.7000000000000005E-7</v>
      </c>
    </row>
    <row r="42" spans="1:2" x14ac:dyDescent="0.25">
      <c r="A42" t="s">
        <v>84</v>
      </c>
      <c r="B42">
        <v>0</v>
      </c>
    </row>
    <row r="43" spans="1:2" x14ac:dyDescent="0.25">
      <c r="A43" t="s">
        <v>85</v>
      </c>
      <c r="B43">
        <v>4.7749999999999997E-3</v>
      </c>
    </row>
    <row r="44" spans="1:2" x14ac:dyDescent="0.25">
      <c r="A44" t="s">
        <v>86</v>
      </c>
      <c r="B44">
        <v>3.1300000000000001E-6</v>
      </c>
    </row>
    <row r="45" spans="1:2" x14ac:dyDescent="0.25">
      <c r="A45" t="s">
        <v>87</v>
      </c>
      <c r="B45">
        <v>8.6639999999999997E-5</v>
      </c>
    </row>
    <row r="46" spans="1:2" x14ac:dyDescent="0.25">
      <c r="A46" t="s">
        <v>88</v>
      </c>
      <c r="B46">
        <v>2.232E-4</v>
      </c>
    </row>
    <row r="47" spans="1:2" x14ac:dyDescent="0.25">
      <c r="A47" t="s">
        <v>89</v>
      </c>
      <c r="B47">
        <v>6.1770000000000002E-3</v>
      </c>
    </row>
    <row r="48" spans="1:2" x14ac:dyDescent="0.25">
      <c r="A48" t="s">
        <v>90</v>
      </c>
      <c r="B48">
        <v>0</v>
      </c>
    </row>
    <row r="49" spans="1:2" x14ac:dyDescent="0.25">
      <c r="A49" t="s">
        <v>91</v>
      </c>
      <c r="B49">
        <v>3.9400000000000004E-6</v>
      </c>
    </row>
    <row r="50" spans="1:2" x14ac:dyDescent="0.25">
      <c r="A50" t="s">
        <v>92</v>
      </c>
      <c r="B50">
        <v>0</v>
      </c>
    </row>
    <row r="51" spans="1:2" x14ac:dyDescent="0.25">
      <c r="A51" t="s">
        <v>93</v>
      </c>
      <c r="B51">
        <v>0</v>
      </c>
    </row>
    <row r="52" spans="1:2" x14ac:dyDescent="0.25">
      <c r="A52" t="s">
        <v>94</v>
      </c>
      <c r="B52">
        <v>0</v>
      </c>
    </row>
    <row r="53" spans="1:2" x14ac:dyDescent="0.25">
      <c r="A53" t="s">
        <v>95</v>
      </c>
      <c r="B53">
        <v>0</v>
      </c>
    </row>
    <row r="54" spans="1:2" x14ac:dyDescent="0.25">
      <c r="A54" t="s">
        <v>96</v>
      </c>
      <c r="B54">
        <v>1.235E-5</v>
      </c>
    </row>
    <row r="55" spans="1:2" x14ac:dyDescent="0.25">
      <c r="A55" t="s">
        <v>97</v>
      </c>
      <c r="B55">
        <v>6.8340000000000002E-4</v>
      </c>
    </row>
    <row r="56" spans="1:2" x14ac:dyDescent="0.25">
      <c r="A56" t="s">
        <v>98</v>
      </c>
      <c r="B56">
        <v>0</v>
      </c>
    </row>
    <row r="57" spans="1:2" x14ac:dyDescent="0.25">
      <c r="A57" t="s">
        <v>99</v>
      </c>
      <c r="B57">
        <v>0</v>
      </c>
    </row>
    <row r="58" spans="1:2" x14ac:dyDescent="0.25">
      <c r="A58" t="s">
        <v>100</v>
      </c>
      <c r="B58">
        <v>8.3699999999999995E-6</v>
      </c>
    </row>
    <row r="59" spans="1:2" x14ac:dyDescent="0.25">
      <c r="A59" t="s">
        <v>101</v>
      </c>
      <c r="B59">
        <v>4.4000000000000002E-7</v>
      </c>
    </row>
    <row r="60" spans="1:2" x14ac:dyDescent="0.25">
      <c r="A60" t="s">
        <v>102</v>
      </c>
      <c r="B60">
        <v>7.5900000000000004E-3</v>
      </c>
    </row>
    <row r="61" spans="1:2" x14ac:dyDescent="0.25">
      <c r="A61" t="s">
        <v>103</v>
      </c>
      <c r="B61">
        <v>2.742E-4</v>
      </c>
    </row>
    <row r="62" spans="1:2" x14ac:dyDescent="0.25">
      <c r="A62" t="s">
        <v>104</v>
      </c>
      <c r="B62">
        <v>0</v>
      </c>
    </row>
    <row r="63" spans="1:2" x14ac:dyDescent="0.25">
      <c r="A63" t="s">
        <v>105</v>
      </c>
      <c r="B63">
        <v>0</v>
      </c>
    </row>
    <row r="64" spans="1:2" x14ac:dyDescent="0.25">
      <c r="A64" t="s">
        <v>106</v>
      </c>
      <c r="B64">
        <v>0</v>
      </c>
    </row>
    <row r="65" spans="1:2" x14ac:dyDescent="0.25">
      <c r="A65" t="s">
        <v>107</v>
      </c>
      <c r="B65">
        <v>0</v>
      </c>
    </row>
    <row r="66" spans="1:2" x14ac:dyDescent="0.25">
      <c r="A66" t="s">
        <v>108</v>
      </c>
      <c r="B66">
        <v>1.86E-6</v>
      </c>
    </row>
    <row r="67" spans="1:2" x14ac:dyDescent="0.25">
      <c r="A67" t="s">
        <v>109</v>
      </c>
      <c r="B67">
        <v>6.2560000000000003E-4</v>
      </c>
    </row>
    <row r="68" spans="1:2" x14ac:dyDescent="0.25">
      <c r="A68" t="s">
        <v>110</v>
      </c>
      <c r="B68">
        <v>1.7340000000000001E-2</v>
      </c>
    </row>
    <row r="69" spans="1:2" x14ac:dyDescent="0.25">
      <c r="A69" t="s">
        <v>111</v>
      </c>
      <c r="B69">
        <v>7.9400000000000002E-6</v>
      </c>
    </row>
    <row r="70" spans="1:2" x14ac:dyDescent="0.25">
      <c r="A70" t="s">
        <v>112</v>
      </c>
      <c r="B70">
        <v>1.24E-6</v>
      </c>
    </row>
    <row r="71" spans="1:2" x14ac:dyDescent="0.25">
      <c r="A71" t="s">
        <v>113</v>
      </c>
      <c r="B71">
        <v>0</v>
      </c>
    </row>
    <row r="72" spans="1:2" x14ac:dyDescent="0.25">
      <c r="A72" t="s">
        <v>114</v>
      </c>
      <c r="B72">
        <v>4.2309999999999998E-4</v>
      </c>
    </row>
    <row r="73" spans="1:2" x14ac:dyDescent="0.25">
      <c r="A73" t="s">
        <v>115</v>
      </c>
      <c r="B73">
        <v>1.172E-2</v>
      </c>
    </row>
    <row r="74" spans="1:2" x14ac:dyDescent="0.25">
      <c r="A74" t="s">
        <v>116</v>
      </c>
      <c r="B74">
        <v>3.8000000000000001E-7</v>
      </c>
    </row>
    <row r="75" spans="1:2" x14ac:dyDescent="0.25">
      <c r="A75" t="s">
        <v>117</v>
      </c>
      <c r="B75">
        <v>0</v>
      </c>
    </row>
    <row r="76" spans="1:2" x14ac:dyDescent="0.25">
      <c r="A76" t="s">
        <v>118</v>
      </c>
      <c r="B76">
        <v>9.1299999999999997E-4</v>
      </c>
    </row>
    <row r="77" spans="1:2" x14ac:dyDescent="0.25">
      <c r="A77" t="s">
        <v>119</v>
      </c>
      <c r="B77">
        <v>0</v>
      </c>
    </row>
    <row r="78" spans="1:2" x14ac:dyDescent="0.25">
      <c r="A78" t="s">
        <v>120</v>
      </c>
      <c r="B78">
        <v>0</v>
      </c>
    </row>
    <row r="79" spans="1:2" x14ac:dyDescent="0.25">
      <c r="A79" t="s">
        <v>121</v>
      </c>
      <c r="B79">
        <v>0</v>
      </c>
    </row>
    <row r="80" spans="1:2" x14ac:dyDescent="0.25">
      <c r="A80" t="s">
        <v>122</v>
      </c>
      <c r="B80">
        <v>1.33E-6</v>
      </c>
    </row>
    <row r="81" spans="1:2" x14ac:dyDescent="0.25">
      <c r="A81" t="s">
        <v>123</v>
      </c>
      <c r="B81">
        <v>0</v>
      </c>
    </row>
    <row r="82" spans="1:2" x14ac:dyDescent="0.25">
      <c r="A82" t="s">
        <v>124</v>
      </c>
      <c r="B82">
        <v>1.0300000000000001E-6</v>
      </c>
    </row>
    <row r="83" spans="1:2" x14ac:dyDescent="0.25">
      <c r="A83" t="s">
        <v>125</v>
      </c>
      <c r="B83">
        <v>3.4499999999999998E-5</v>
      </c>
    </row>
    <row r="84" spans="1:2" x14ac:dyDescent="0.25">
      <c r="A84" t="s">
        <v>126</v>
      </c>
      <c r="B84">
        <v>0</v>
      </c>
    </row>
    <row r="85" spans="1:2" x14ac:dyDescent="0.25">
      <c r="A85" t="s">
        <v>127</v>
      </c>
      <c r="B85">
        <v>2.7E-6</v>
      </c>
    </row>
    <row r="86" spans="1:2" x14ac:dyDescent="0.25">
      <c r="A86" t="s">
        <v>128</v>
      </c>
      <c r="B86">
        <v>7.5339999999999994E-5</v>
      </c>
    </row>
    <row r="87" spans="1:2" x14ac:dyDescent="0.25">
      <c r="A87" t="s">
        <v>129</v>
      </c>
      <c r="B87">
        <v>2.7800000000000001E-6</v>
      </c>
    </row>
    <row r="88" spans="1:2" x14ac:dyDescent="0.25">
      <c r="A88" t="s">
        <v>130</v>
      </c>
      <c r="B88">
        <v>7.6600000000000005E-5</v>
      </c>
    </row>
    <row r="89" spans="1:2" x14ac:dyDescent="0.25">
      <c r="A89" t="s">
        <v>131</v>
      </c>
      <c r="B89">
        <v>1.679E-5</v>
      </c>
    </row>
    <row r="90" spans="1:2" x14ac:dyDescent="0.25">
      <c r="A90" t="s">
        <v>132</v>
      </c>
      <c r="B90">
        <v>0</v>
      </c>
    </row>
    <row r="91" spans="1:2" x14ac:dyDescent="0.25">
      <c r="A91" t="s">
        <v>133</v>
      </c>
      <c r="B91">
        <v>0</v>
      </c>
    </row>
    <row r="92" spans="1:2" x14ac:dyDescent="0.25">
      <c r="A92" t="s">
        <v>134</v>
      </c>
      <c r="B92">
        <v>2.2249999999999999E-5</v>
      </c>
    </row>
    <row r="93" spans="1:2" x14ac:dyDescent="0.25">
      <c r="A93" t="s">
        <v>135</v>
      </c>
      <c r="B93">
        <v>6.1589999999999995E-4</v>
      </c>
    </row>
    <row r="94" spans="1:2" x14ac:dyDescent="0.25">
      <c r="A94" t="s">
        <v>136</v>
      </c>
      <c r="B94">
        <v>0</v>
      </c>
    </row>
    <row r="95" spans="1:2" x14ac:dyDescent="0.25">
      <c r="A95" t="s">
        <v>137</v>
      </c>
      <c r="B95">
        <v>0</v>
      </c>
    </row>
    <row r="96" spans="1:2" x14ac:dyDescent="0.25">
      <c r="A96" t="s">
        <v>138</v>
      </c>
      <c r="B96">
        <v>2.3800000000000001E-6</v>
      </c>
    </row>
    <row r="97" spans="1:2" x14ac:dyDescent="0.25">
      <c r="A97" t="s">
        <v>139</v>
      </c>
      <c r="B97">
        <v>6.5770000000000002E-5</v>
      </c>
    </row>
    <row r="98" spans="1:2" x14ac:dyDescent="0.25">
      <c r="A98" t="s">
        <v>140</v>
      </c>
      <c r="B98">
        <v>5.22E-6</v>
      </c>
    </row>
    <row r="99" spans="1:2" x14ac:dyDescent="0.25">
      <c r="A99" t="s">
        <v>141</v>
      </c>
      <c r="B99">
        <v>0</v>
      </c>
    </row>
    <row r="100" spans="1:2" x14ac:dyDescent="0.25">
      <c r="A100" t="s">
        <v>142</v>
      </c>
      <c r="B100">
        <v>707.53</v>
      </c>
    </row>
    <row r="101" spans="1:2" x14ac:dyDescent="0.25">
      <c r="A101" t="s">
        <v>143</v>
      </c>
      <c r="B101">
        <v>0</v>
      </c>
    </row>
    <row r="102" spans="1:2" x14ac:dyDescent="0.25">
      <c r="A102" t="s">
        <v>144</v>
      </c>
      <c r="B102">
        <v>0</v>
      </c>
    </row>
    <row r="103" spans="1:2" x14ac:dyDescent="0.25">
      <c r="A103" t="s">
        <v>145</v>
      </c>
      <c r="B103">
        <v>0</v>
      </c>
    </row>
    <row r="104" spans="1:2" x14ac:dyDescent="0.25">
      <c r="A104" t="s">
        <v>146</v>
      </c>
      <c r="B104">
        <v>0</v>
      </c>
    </row>
    <row r="105" spans="1:2" x14ac:dyDescent="0.25">
      <c r="A105" t="s">
        <v>147</v>
      </c>
      <c r="B105">
        <v>0</v>
      </c>
    </row>
    <row r="106" spans="1:2" x14ac:dyDescent="0.25">
      <c r="A106" t="s">
        <v>148</v>
      </c>
      <c r="B106">
        <v>3.4699999999999998E-6</v>
      </c>
    </row>
    <row r="107" spans="1:2" x14ac:dyDescent="0.25">
      <c r="A107" t="s">
        <v>149</v>
      </c>
      <c r="B107">
        <v>0</v>
      </c>
    </row>
    <row r="108" spans="1:2" x14ac:dyDescent="0.25">
      <c r="A108" t="s">
        <v>150</v>
      </c>
      <c r="B108">
        <v>0</v>
      </c>
    </row>
    <row r="109" spans="1:2" x14ac:dyDescent="0.25">
      <c r="A109" t="s">
        <v>151</v>
      </c>
      <c r="B109">
        <v>0</v>
      </c>
    </row>
    <row r="110" spans="1:2" x14ac:dyDescent="0.25">
      <c r="A110" t="s">
        <v>152</v>
      </c>
      <c r="B110">
        <v>0</v>
      </c>
    </row>
    <row r="111" spans="1:2" x14ac:dyDescent="0.25">
      <c r="A111" t="s">
        <v>153</v>
      </c>
      <c r="B111">
        <v>0</v>
      </c>
    </row>
    <row r="112" spans="1:2" x14ac:dyDescent="0.25">
      <c r="A112" t="s">
        <v>154</v>
      </c>
      <c r="B112">
        <v>4.4000000000000002E-6</v>
      </c>
    </row>
    <row r="113" spans="1:2" x14ac:dyDescent="0.25">
      <c r="A113" t="s">
        <v>155</v>
      </c>
      <c r="B113">
        <v>0</v>
      </c>
    </row>
    <row r="114" spans="1:2" x14ac:dyDescent="0.25">
      <c r="A114" t="s">
        <v>156</v>
      </c>
      <c r="B114">
        <v>0</v>
      </c>
    </row>
    <row r="115" spans="1:2" x14ac:dyDescent="0.25">
      <c r="A115" t="s">
        <v>157</v>
      </c>
      <c r="B115">
        <v>0</v>
      </c>
    </row>
    <row r="116" spans="1:2" x14ac:dyDescent="0.25">
      <c r="A116" t="s">
        <v>158</v>
      </c>
      <c r="B116">
        <v>0</v>
      </c>
    </row>
    <row r="117" spans="1:2" x14ac:dyDescent="0.25">
      <c r="A117" t="s">
        <v>159</v>
      </c>
      <c r="B117">
        <v>2.287E-3</v>
      </c>
    </row>
    <row r="118" spans="1:2" x14ac:dyDescent="0.25">
      <c r="A118" t="s">
        <v>160</v>
      </c>
      <c r="B118">
        <v>4.0320000000000002E-2</v>
      </c>
    </row>
    <row r="119" spans="1:2" x14ac:dyDescent="0.25">
      <c r="A119" t="s">
        <v>161</v>
      </c>
      <c r="B119">
        <v>0</v>
      </c>
    </row>
    <row r="120" spans="1:2" x14ac:dyDescent="0.25">
      <c r="A120" t="s">
        <v>162</v>
      </c>
      <c r="B120">
        <v>0</v>
      </c>
    </row>
    <row r="121" spans="1:2" x14ac:dyDescent="0.25">
      <c r="A121" t="s">
        <v>163</v>
      </c>
      <c r="B121">
        <v>0</v>
      </c>
    </row>
    <row r="122" spans="1:2" x14ac:dyDescent="0.25">
      <c r="A122" t="s">
        <v>164</v>
      </c>
      <c r="B122">
        <v>0</v>
      </c>
    </row>
    <row r="123" spans="1:2" x14ac:dyDescent="0.25">
      <c r="A123" t="s">
        <v>165</v>
      </c>
      <c r="B123">
        <v>9.9999999999999995E-8</v>
      </c>
    </row>
    <row r="124" spans="1:2" x14ac:dyDescent="0.25">
      <c r="A124" t="s">
        <v>166</v>
      </c>
      <c r="B124">
        <v>0</v>
      </c>
    </row>
    <row r="125" spans="1:2" x14ac:dyDescent="0.25">
      <c r="A125" t="s">
        <v>167</v>
      </c>
      <c r="B125">
        <v>0</v>
      </c>
    </row>
    <row r="126" spans="1:2" x14ac:dyDescent="0.25">
      <c r="A126" t="s">
        <v>168</v>
      </c>
      <c r="B126">
        <v>0</v>
      </c>
    </row>
    <row r="127" spans="1:2" x14ac:dyDescent="0.25">
      <c r="A127" t="s">
        <v>169</v>
      </c>
      <c r="B127">
        <v>0</v>
      </c>
    </row>
    <row r="128" spans="1:2" x14ac:dyDescent="0.25">
      <c r="A128" t="s">
        <v>170</v>
      </c>
      <c r="B128">
        <v>0</v>
      </c>
    </row>
    <row r="129" spans="1:2" x14ac:dyDescent="0.25">
      <c r="A129" t="s">
        <v>171</v>
      </c>
      <c r="B129">
        <v>2.5500000000000001E-6</v>
      </c>
    </row>
    <row r="130" spans="1:2" x14ac:dyDescent="0.25">
      <c r="A130" t="s">
        <v>172</v>
      </c>
      <c r="B130">
        <v>1.063E-4</v>
      </c>
    </row>
    <row r="131" spans="1:2" x14ac:dyDescent="0.25">
      <c r="A131" t="s">
        <v>173</v>
      </c>
      <c r="B131">
        <v>0</v>
      </c>
    </row>
    <row r="132" spans="1:2" x14ac:dyDescent="0.25">
      <c r="A132" t="s">
        <v>174</v>
      </c>
      <c r="B132">
        <v>0</v>
      </c>
    </row>
    <row r="133" spans="1:2" x14ac:dyDescent="0.25">
      <c r="A133" t="s">
        <v>175</v>
      </c>
      <c r="B133">
        <v>0</v>
      </c>
    </row>
    <row r="134" spans="1:2" x14ac:dyDescent="0.25">
      <c r="A134" t="s">
        <v>176</v>
      </c>
      <c r="B134">
        <v>0</v>
      </c>
    </row>
    <row r="135" spans="1:2" x14ac:dyDescent="0.25">
      <c r="A135" t="s">
        <v>177</v>
      </c>
      <c r="B135">
        <v>0</v>
      </c>
    </row>
    <row r="136" spans="1:2" x14ac:dyDescent="0.25">
      <c r="A136" t="s">
        <v>178</v>
      </c>
      <c r="B136">
        <v>0</v>
      </c>
    </row>
    <row r="137" spans="1:2" x14ac:dyDescent="0.25">
      <c r="A137" t="s">
        <v>179</v>
      </c>
      <c r="B137">
        <v>0</v>
      </c>
    </row>
    <row r="138" spans="1:2" x14ac:dyDescent="0.25">
      <c r="A138" t="s">
        <v>180</v>
      </c>
      <c r="B138">
        <v>0</v>
      </c>
    </row>
    <row r="139" spans="1:2" x14ac:dyDescent="0.25">
      <c r="A139" t="s">
        <v>181</v>
      </c>
      <c r="B139">
        <v>0</v>
      </c>
    </row>
    <row r="140" spans="1:2" x14ac:dyDescent="0.25">
      <c r="A140" t="s">
        <v>182</v>
      </c>
      <c r="B140">
        <v>0</v>
      </c>
    </row>
    <row r="141" spans="1:2" x14ac:dyDescent="0.25">
      <c r="A141" t="s">
        <v>183</v>
      </c>
      <c r="B141">
        <v>0</v>
      </c>
    </row>
    <row r="142" spans="1:2" x14ac:dyDescent="0.25">
      <c r="A142" t="s">
        <v>184</v>
      </c>
      <c r="B142">
        <v>0</v>
      </c>
    </row>
    <row r="143" spans="1:2" x14ac:dyDescent="0.25">
      <c r="A143" t="s">
        <v>185</v>
      </c>
      <c r="B143">
        <v>14.05</v>
      </c>
    </row>
    <row r="144" spans="1:2" x14ac:dyDescent="0.25">
      <c r="A144" t="s">
        <v>186</v>
      </c>
      <c r="B144">
        <v>3.8359999999999998E-2</v>
      </c>
    </row>
    <row r="145" spans="1:2" x14ac:dyDescent="0.25">
      <c r="A145" t="s">
        <v>187</v>
      </c>
      <c r="B145">
        <v>0</v>
      </c>
    </row>
    <row r="146" spans="1:2" x14ac:dyDescent="0.25">
      <c r="A146" t="s">
        <v>188</v>
      </c>
      <c r="B146">
        <v>0</v>
      </c>
    </row>
    <row r="147" spans="1:2" x14ac:dyDescent="0.25">
      <c r="A147" t="s">
        <v>189</v>
      </c>
      <c r="B147">
        <v>0</v>
      </c>
    </row>
    <row r="148" spans="1:2" x14ac:dyDescent="0.25">
      <c r="A148" t="s">
        <v>190</v>
      </c>
      <c r="B148">
        <v>0</v>
      </c>
    </row>
    <row r="149" spans="1:2" x14ac:dyDescent="0.25">
      <c r="A149" t="s">
        <v>191</v>
      </c>
      <c r="B149">
        <v>0</v>
      </c>
    </row>
    <row r="150" spans="1:2" x14ac:dyDescent="0.25">
      <c r="A150" t="s">
        <v>192</v>
      </c>
      <c r="B150">
        <v>4.3000000000000001E-7</v>
      </c>
    </row>
    <row r="151" spans="1:2" x14ac:dyDescent="0.25">
      <c r="A151" t="s">
        <v>193</v>
      </c>
      <c r="B151">
        <v>0</v>
      </c>
    </row>
    <row r="152" spans="1:2" x14ac:dyDescent="0.25">
      <c r="A152" t="s">
        <v>194</v>
      </c>
      <c r="B152">
        <v>0</v>
      </c>
    </row>
    <row r="153" spans="1:2" x14ac:dyDescent="0.25">
      <c r="A153" t="s">
        <v>195</v>
      </c>
      <c r="B153">
        <v>0</v>
      </c>
    </row>
    <row r="154" spans="1:2" x14ac:dyDescent="0.25">
      <c r="A154" t="s">
        <v>196</v>
      </c>
      <c r="B154">
        <v>0</v>
      </c>
    </row>
    <row r="155" spans="1:2" x14ac:dyDescent="0.25">
      <c r="A155" t="s">
        <v>197</v>
      </c>
      <c r="B155">
        <v>0</v>
      </c>
    </row>
    <row r="156" spans="1:2" x14ac:dyDescent="0.25">
      <c r="A156" t="s">
        <v>198</v>
      </c>
      <c r="B156">
        <v>1.0169999999999999E-5</v>
      </c>
    </row>
    <row r="157" spans="1:2" x14ac:dyDescent="0.25">
      <c r="A157" t="s">
        <v>199</v>
      </c>
      <c r="B157">
        <v>3.3730000000000001E-4</v>
      </c>
    </row>
    <row r="158" spans="1:2" x14ac:dyDescent="0.25">
      <c r="A158" t="s">
        <v>200</v>
      </c>
      <c r="B158">
        <v>0</v>
      </c>
    </row>
    <row r="159" spans="1:2" x14ac:dyDescent="0.25">
      <c r="A159" t="s">
        <v>201</v>
      </c>
      <c r="B159">
        <v>0</v>
      </c>
    </row>
    <row r="160" spans="1:2" x14ac:dyDescent="0.25">
      <c r="A160" t="s">
        <v>202</v>
      </c>
      <c r="B160">
        <v>0</v>
      </c>
    </row>
    <row r="161" spans="1:2" x14ac:dyDescent="0.25">
      <c r="A161" t="s">
        <v>203</v>
      </c>
      <c r="B161">
        <v>0</v>
      </c>
    </row>
    <row r="162" spans="1:2" x14ac:dyDescent="0.25">
      <c r="A162" t="s">
        <v>204</v>
      </c>
      <c r="B162">
        <v>0</v>
      </c>
    </row>
    <row r="163" spans="1:2" x14ac:dyDescent="0.25">
      <c r="A163" t="s">
        <v>205</v>
      </c>
      <c r="B163">
        <v>5.1499999999999998E-6</v>
      </c>
    </row>
    <row r="164" spans="1:2" x14ac:dyDescent="0.25">
      <c r="A164" t="s">
        <v>206</v>
      </c>
      <c r="B164">
        <v>1.426E-4</v>
      </c>
    </row>
    <row r="165" spans="1:2" x14ac:dyDescent="0.25">
      <c r="A165" t="s">
        <v>207</v>
      </c>
      <c r="B165">
        <v>0</v>
      </c>
    </row>
    <row r="166" spans="1:2" x14ac:dyDescent="0.25">
      <c r="A166" t="s">
        <v>208</v>
      </c>
      <c r="B166">
        <v>0</v>
      </c>
    </row>
    <row r="167" spans="1:2" x14ac:dyDescent="0.25">
      <c r="A167" t="s">
        <v>209</v>
      </c>
      <c r="B167">
        <v>0</v>
      </c>
    </row>
    <row r="168" spans="1:2" x14ac:dyDescent="0.25">
      <c r="A168" t="s">
        <v>210</v>
      </c>
      <c r="B168">
        <v>0</v>
      </c>
    </row>
    <row r="169" spans="1:2" x14ac:dyDescent="0.25">
      <c r="A169" t="s">
        <v>211</v>
      </c>
      <c r="B169">
        <v>7.1699999999999997E-4</v>
      </c>
    </row>
    <row r="170" spans="1:2" x14ac:dyDescent="0.25">
      <c r="A170" t="s">
        <v>212</v>
      </c>
      <c r="B170">
        <v>2.4099999999999998E-6</v>
      </c>
    </row>
    <row r="171" spans="1:2" x14ac:dyDescent="0.25">
      <c r="A171" t="s">
        <v>213</v>
      </c>
      <c r="B171">
        <v>6.6970000000000004E-5</v>
      </c>
    </row>
    <row r="172" spans="1:2" x14ac:dyDescent="0.25">
      <c r="A172" t="s">
        <v>214</v>
      </c>
      <c r="B172">
        <v>0</v>
      </c>
    </row>
    <row r="173" spans="1:2" x14ac:dyDescent="0.25">
      <c r="A173" t="s">
        <v>215</v>
      </c>
      <c r="B173">
        <v>9.1900000000000001E-6</v>
      </c>
    </row>
    <row r="174" spans="1:2" x14ac:dyDescent="0.25">
      <c r="A174" t="s">
        <v>216</v>
      </c>
      <c r="B174">
        <v>2.5460000000000001E-4</v>
      </c>
    </row>
    <row r="175" spans="1:2" x14ac:dyDescent="0.25">
      <c r="A175" t="s">
        <v>217</v>
      </c>
      <c r="B175">
        <v>0</v>
      </c>
    </row>
    <row r="176" spans="1:2" x14ac:dyDescent="0.25">
      <c r="A176" t="s">
        <v>218</v>
      </c>
      <c r="B176">
        <v>0</v>
      </c>
    </row>
    <row r="177" spans="1:2" x14ac:dyDescent="0.25">
      <c r="A177" t="s">
        <v>219</v>
      </c>
      <c r="B177">
        <v>0</v>
      </c>
    </row>
    <row r="178" spans="1:2" x14ac:dyDescent="0.25">
      <c r="A178" t="s">
        <v>220</v>
      </c>
      <c r="B178">
        <v>0</v>
      </c>
    </row>
    <row r="179" spans="1:2" x14ac:dyDescent="0.25">
      <c r="A179" t="s">
        <v>221</v>
      </c>
      <c r="B179">
        <v>0</v>
      </c>
    </row>
    <row r="180" spans="1:2" x14ac:dyDescent="0.25">
      <c r="A180" t="s">
        <v>222</v>
      </c>
      <c r="B180">
        <v>3.6100000000000002E-6</v>
      </c>
    </row>
    <row r="181" spans="1:2" x14ac:dyDescent="0.25">
      <c r="A181" t="s">
        <v>223</v>
      </c>
      <c r="B181">
        <v>9.9749999999999999E-5</v>
      </c>
    </row>
    <row r="182" spans="1:2" x14ac:dyDescent="0.25">
      <c r="A182" t="s">
        <v>224</v>
      </c>
      <c r="B182">
        <v>3.0360000000000001E-4</v>
      </c>
    </row>
    <row r="183" spans="1:2" x14ac:dyDescent="0.25">
      <c r="A183" t="s">
        <v>225</v>
      </c>
      <c r="B183">
        <v>0</v>
      </c>
    </row>
    <row r="184" spans="1:2" x14ac:dyDescent="0.25">
      <c r="A184" t="s">
        <v>226</v>
      </c>
      <c r="B184">
        <v>0</v>
      </c>
    </row>
    <row r="185" spans="1:2" x14ac:dyDescent="0.25">
      <c r="A185" t="s">
        <v>227</v>
      </c>
      <c r="B185">
        <v>0</v>
      </c>
    </row>
    <row r="186" spans="1:2" x14ac:dyDescent="0.25">
      <c r="A186" t="s">
        <v>228</v>
      </c>
      <c r="B186">
        <v>0</v>
      </c>
    </row>
    <row r="187" spans="1:2" x14ac:dyDescent="0.25">
      <c r="A187" t="s">
        <v>229</v>
      </c>
      <c r="B187">
        <v>0</v>
      </c>
    </row>
    <row r="188" spans="1:2" x14ac:dyDescent="0.25">
      <c r="A188" t="s">
        <v>230</v>
      </c>
      <c r="B188">
        <v>2.9999999999999999E-7</v>
      </c>
    </row>
    <row r="189" spans="1:2" x14ac:dyDescent="0.25">
      <c r="A189" t="s">
        <v>231</v>
      </c>
      <c r="B189">
        <v>0</v>
      </c>
    </row>
    <row r="190" spans="1:2" x14ac:dyDescent="0.25">
      <c r="A190" t="s">
        <v>232</v>
      </c>
      <c r="B190">
        <v>0</v>
      </c>
    </row>
    <row r="191" spans="1:2" x14ac:dyDescent="0.25">
      <c r="A191" t="s">
        <v>233</v>
      </c>
      <c r="B191">
        <v>2.972E-2</v>
      </c>
    </row>
    <row r="192" spans="1:2" x14ac:dyDescent="0.25">
      <c r="A192" t="s">
        <v>234</v>
      </c>
      <c r="B192">
        <v>100.87</v>
      </c>
    </row>
    <row r="193" spans="1:2" x14ac:dyDescent="0.25">
      <c r="A193" t="s">
        <v>235</v>
      </c>
      <c r="B193">
        <v>0.14269999999999999</v>
      </c>
    </row>
    <row r="194" spans="1:2" x14ac:dyDescent="0.25">
      <c r="A194" t="s">
        <v>236</v>
      </c>
      <c r="B194">
        <v>0</v>
      </c>
    </row>
    <row r="195" spans="1:2" x14ac:dyDescent="0.25">
      <c r="A195" t="s">
        <v>237</v>
      </c>
      <c r="B195">
        <v>0</v>
      </c>
    </row>
    <row r="196" spans="1:2" x14ac:dyDescent="0.25">
      <c r="A196" t="s">
        <v>238</v>
      </c>
      <c r="B196">
        <v>1.626E-5</v>
      </c>
    </row>
    <row r="197" spans="1:2" x14ac:dyDescent="0.25">
      <c r="A197" t="s">
        <v>239</v>
      </c>
      <c r="B197">
        <v>2.9799999999999998E-4</v>
      </c>
    </row>
    <row r="198" spans="1:2" x14ac:dyDescent="0.25">
      <c r="A198" t="s">
        <v>240</v>
      </c>
      <c r="B198">
        <v>5.13E-3</v>
      </c>
    </row>
    <row r="199" spans="1:2" x14ac:dyDescent="0.25">
      <c r="A199" t="s">
        <v>241</v>
      </c>
      <c r="B199">
        <v>7.7000000000000004E-7</v>
      </c>
    </row>
    <row r="200" spans="1:2" x14ac:dyDescent="0.25">
      <c r="A200" t="s">
        <v>242</v>
      </c>
      <c r="B200">
        <v>0</v>
      </c>
    </row>
    <row r="201" spans="1:2" x14ac:dyDescent="0.25">
      <c r="A201" t="s">
        <v>243</v>
      </c>
      <c r="B201">
        <v>0</v>
      </c>
    </row>
    <row r="202" spans="1:2" x14ac:dyDescent="0.25">
      <c r="A202" t="s">
        <v>244</v>
      </c>
      <c r="B202">
        <v>2.0200000000000001E-6</v>
      </c>
    </row>
    <row r="203" spans="1:2" x14ac:dyDescent="0.25">
      <c r="A203" t="s">
        <v>245</v>
      </c>
      <c r="B203">
        <v>1.1790000000000001E-4</v>
      </c>
    </row>
    <row r="204" spans="1:2" x14ac:dyDescent="0.25">
      <c r="A204" t="s">
        <v>246</v>
      </c>
      <c r="B204">
        <v>0</v>
      </c>
    </row>
    <row r="205" spans="1:2" x14ac:dyDescent="0.25">
      <c r="A205" t="s">
        <v>247</v>
      </c>
      <c r="B205">
        <v>0</v>
      </c>
    </row>
    <row r="206" spans="1:2" x14ac:dyDescent="0.25">
      <c r="A206" t="s">
        <v>248</v>
      </c>
      <c r="B206">
        <v>0</v>
      </c>
    </row>
    <row r="207" spans="1:2" x14ac:dyDescent="0.25">
      <c r="A207" t="s">
        <v>249</v>
      </c>
      <c r="B207">
        <v>0</v>
      </c>
    </row>
    <row r="208" spans="1:2" x14ac:dyDescent="0.25">
      <c r="A208" t="s">
        <v>250</v>
      </c>
      <c r="B208">
        <v>4.6700000000000002E-6</v>
      </c>
    </row>
    <row r="209" spans="1:2" x14ac:dyDescent="0.25">
      <c r="A209" t="s">
        <v>251</v>
      </c>
      <c r="B209">
        <v>1.3009999999999999E-4</v>
      </c>
    </row>
    <row r="210" spans="1:2" x14ac:dyDescent="0.25">
      <c r="A210" t="s">
        <v>252</v>
      </c>
      <c r="B210">
        <v>1.39E-6</v>
      </c>
    </row>
    <row r="211" spans="1:2" x14ac:dyDescent="0.25">
      <c r="A211" t="s">
        <v>253</v>
      </c>
      <c r="B211">
        <v>0</v>
      </c>
    </row>
    <row r="212" spans="1:2" x14ac:dyDescent="0.25">
      <c r="A212" t="s">
        <v>254</v>
      </c>
      <c r="B212">
        <v>0</v>
      </c>
    </row>
    <row r="213" spans="1:2" x14ac:dyDescent="0.25">
      <c r="A213" t="s">
        <v>255</v>
      </c>
      <c r="B213">
        <v>1.2E-5</v>
      </c>
    </row>
    <row r="214" spans="1:2" x14ac:dyDescent="0.25">
      <c r="A214" t="s">
        <v>256</v>
      </c>
      <c r="B214">
        <v>0</v>
      </c>
    </row>
    <row r="215" spans="1:2" x14ac:dyDescent="0.25">
      <c r="A215" t="s">
        <v>257</v>
      </c>
      <c r="B215">
        <v>0</v>
      </c>
    </row>
    <row r="216" spans="1:2" x14ac:dyDescent="0.25">
      <c r="A216" t="s">
        <v>258</v>
      </c>
      <c r="B216">
        <v>0</v>
      </c>
    </row>
    <row r="217" spans="1:2" x14ac:dyDescent="0.25">
      <c r="A217" t="s">
        <v>259</v>
      </c>
      <c r="B217">
        <v>0</v>
      </c>
    </row>
    <row r="218" spans="1:2" x14ac:dyDescent="0.25">
      <c r="A218" t="s">
        <v>260</v>
      </c>
      <c r="B218">
        <v>0</v>
      </c>
    </row>
    <row r="219" spans="1:2" x14ac:dyDescent="0.25">
      <c r="A219" t="s">
        <v>261</v>
      </c>
      <c r="B219">
        <v>0</v>
      </c>
    </row>
    <row r="220" spans="1:2" x14ac:dyDescent="0.25">
      <c r="A220" t="s">
        <v>262</v>
      </c>
      <c r="B220">
        <v>0</v>
      </c>
    </row>
    <row r="221" spans="1:2" x14ac:dyDescent="0.25">
      <c r="A221" t="s">
        <v>263</v>
      </c>
      <c r="B221">
        <v>0</v>
      </c>
    </row>
    <row r="222" spans="1:2" x14ac:dyDescent="0.25">
      <c r="A222" t="s">
        <v>264</v>
      </c>
      <c r="B222">
        <v>0</v>
      </c>
    </row>
    <row r="223" spans="1:2" x14ac:dyDescent="0.25">
      <c r="A223" t="s">
        <v>265</v>
      </c>
      <c r="B223">
        <v>0</v>
      </c>
    </row>
    <row r="224" spans="1:2" x14ac:dyDescent="0.25">
      <c r="A224" t="s">
        <v>266</v>
      </c>
      <c r="B224">
        <v>0</v>
      </c>
    </row>
    <row r="225" spans="1:2" x14ac:dyDescent="0.25">
      <c r="A225" t="s">
        <v>267</v>
      </c>
      <c r="B225">
        <v>0</v>
      </c>
    </row>
    <row r="226" spans="1:2" x14ac:dyDescent="0.25">
      <c r="A226" t="s">
        <v>268</v>
      </c>
      <c r="B226">
        <v>0</v>
      </c>
    </row>
    <row r="227" spans="1:2" x14ac:dyDescent="0.25">
      <c r="A227" t="s">
        <v>269</v>
      </c>
      <c r="B227">
        <v>0</v>
      </c>
    </row>
    <row r="228" spans="1:2" x14ac:dyDescent="0.25">
      <c r="A228" t="s">
        <v>270</v>
      </c>
      <c r="B228">
        <v>0</v>
      </c>
    </row>
    <row r="229" spans="1:2" x14ac:dyDescent="0.25">
      <c r="A229" t="s">
        <v>271</v>
      </c>
      <c r="B229">
        <v>0</v>
      </c>
    </row>
    <row r="230" spans="1:2" x14ac:dyDescent="0.25">
      <c r="A230" t="s">
        <v>272</v>
      </c>
      <c r="B230">
        <v>0</v>
      </c>
    </row>
    <row r="231" spans="1:2" x14ac:dyDescent="0.25">
      <c r="A231" t="s">
        <v>273</v>
      </c>
      <c r="B231">
        <v>0</v>
      </c>
    </row>
    <row r="232" spans="1:2" x14ac:dyDescent="0.25">
      <c r="A232" t="s">
        <v>274</v>
      </c>
      <c r="B232">
        <v>0</v>
      </c>
    </row>
    <row r="233" spans="1:2" x14ac:dyDescent="0.25">
      <c r="A233" t="s">
        <v>275</v>
      </c>
      <c r="B233">
        <v>0</v>
      </c>
    </row>
    <row r="234" spans="1:2" x14ac:dyDescent="0.25">
      <c r="A234" t="s">
        <v>276</v>
      </c>
      <c r="B234">
        <v>0</v>
      </c>
    </row>
    <row r="235" spans="1:2" x14ac:dyDescent="0.25">
      <c r="A235" t="s">
        <v>277</v>
      </c>
      <c r="B235">
        <v>0</v>
      </c>
    </row>
    <row r="236" spans="1:2" x14ac:dyDescent="0.25">
      <c r="A236" t="s">
        <v>278</v>
      </c>
      <c r="B236">
        <v>2.4499999999999999E-5</v>
      </c>
    </row>
    <row r="237" spans="1:2" x14ac:dyDescent="0.25">
      <c r="A237" t="s">
        <v>279</v>
      </c>
      <c r="B237">
        <v>6.78E-4</v>
      </c>
    </row>
    <row r="238" spans="1:2" x14ac:dyDescent="0.25">
      <c r="A238" t="s">
        <v>280</v>
      </c>
      <c r="B238">
        <v>0</v>
      </c>
    </row>
    <row r="239" spans="1:2" x14ac:dyDescent="0.25">
      <c r="A239" t="s">
        <v>281</v>
      </c>
      <c r="B239">
        <v>0</v>
      </c>
    </row>
    <row r="240" spans="1:2" x14ac:dyDescent="0.25">
      <c r="A240" t="s">
        <v>282</v>
      </c>
      <c r="B240">
        <v>0</v>
      </c>
    </row>
    <row r="241" spans="1:2" x14ac:dyDescent="0.25">
      <c r="A241" t="s">
        <v>283</v>
      </c>
      <c r="B241">
        <v>3.4199999999999999E-6</v>
      </c>
    </row>
    <row r="242" spans="1:2" x14ac:dyDescent="0.25">
      <c r="A242" t="s">
        <v>284</v>
      </c>
      <c r="B242">
        <v>0</v>
      </c>
    </row>
    <row r="243" spans="1:2" x14ac:dyDescent="0.25">
      <c r="A243" t="s">
        <v>285</v>
      </c>
      <c r="B243">
        <v>9.9999999999999995E-8</v>
      </c>
    </row>
    <row r="244" spans="1:2" x14ac:dyDescent="0.25">
      <c r="A244" t="s">
        <v>286</v>
      </c>
      <c r="B244">
        <v>3.72E-6</v>
      </c>
    </row>
    <row r="245" spans="1:2" x14ac:dyDescent="0.25">
      <c r="A245" t="s">
        <v>287</v>
      </c>
      <c r="B245">
        <v>0</v>
      </c>
    </row>
    <row r="246" spans="1:2" x14ac:dyDescent="0.25">
      <c r="A246" t="s">
        <v>288</v>
      </c>
      <c r="B246">
        <v>0</v>
      </c>
    </row>
    <row r="247" spans="1:2" x14ac:dyDescent="0.25">
      <c r="A247" t="s">
        <v>289</v>
      </c>
      <c r="B247">
        <v>2.6199999999999999E-6</v>
      </c>
    </row>
    <row r="248" spans="1:2" x14ac:dyDescent="0.25">
      <c r="A248" t="s">
        <v>290</v>
      </c>
      <c r="B248">
        <v>7.2600000000000003E-5</v>
      </c>
    </row>
    <row r="249" spans="1:2" x14ac:dyDescent="0.25">
      <c r="A249" t="s">
        <v>291</v>
      </c>
      <c r="B249">
        <v>0</v>
      </c>
    </row>
    <row r="250" spans="1:2" x14ac:dyDescent="0.25">
      <c r="A250" t="s">
        <v>292</v>
      </c>
      <c r="B250">
        <v>0</v>
      </c>
    </row>
    <row r="251" spans="1:2" x14ac:dyDescent="0.25">
      <c r="A251" t="s">
        <v>293</v>
      </c>
      <c r="B251">
        <v>0</v>
      </c>
    </row>
    <row r="252" spans="1:2" x14ac:dyDescent="0.25">
      <c r="A252" t="s">
        <v>294</v>
      </c>
      <c r="B252">
        <v>0</v>
      </c>
    </row>
    <row r="253" spans="1:2" x14ac:dyDescent="0.25">
      <c r="A253" t="s">
        <v>295</v>
      </c>
      <c r="B253">
        <v>0</v>
      </c>
    </row>
    <row r="254" spans="1:2" x14ac:dyDescent="0.25">
      <c r="A254" t="s">
        <v>296</v>
      </c>
      <c r="B254">
        <v>0</v>
      </c>
    </row>
    <row r="255" spans="1:2" x14ac:dyDescent="0.25">
      <c r="A255" t="s">
        <v>297</v>
      </c>
      <c r="B255">
        <v>0</v>
      </c>
    </row>
    <row r="256" spans="1:2" x14ac:dyDescent="0.25">
      <c r="A256" t="s">
        <v>298</v>
      </c>
      <c r="B256">
        <v>5.9999999999999997E-7</v>
      </c>
    </row>
    <row r="257" spans="1:2" x14ac:dyDescent="0.25">
      <c r="A257" t="s">
        <v>299</v>
      </c>
      <c r="B257">
        <v>4.159E-5</v>
      </c>
    </row>
    <row r="258" spans="1:2" x14ac:dyDescent="0.25">
      <c r="A258" t="s">
        <v>300</v>
      </c>
      <c r="B258">
        <v>0</v>
      </c>
    </row>
    <row r="259" spans="1:2" x14ac:dyDescent="0.25">
      <c r="A259" t="s">
        <v>301</v>
      </c>
      <c r="B259">
        <v>0</v>
      </c>
    </row>
    <row r="260" spans="1:2" x14ac:dyDescent="0.25">
      <c r="A260" t="s">
        <v>302</v>
      </c>
      <c r="B260">
        <v>0</v>
      </c>
    </row>
    <row r="261" spans="1:2" x14ac:dyDescent="0.25">
      <c r="A261" t="s">
        <v>303</v>
      </c>
      <c r="B261">
        <v>0</v>
      </c>
    </row>
    <row r="262" spans="1:2" x14ac:dyDescent="0.25">
      <c r="A262" t="s">
        <v>304</v>
      </c>
      <c r="B262">
        <v>0</v>
      </c>
    </row>
    <row r="263" spans="1:2" x14ac:dyDescent="0.25">
      <c r="A263" t="s">
        <v>305</v>
      </c>
      <c r="B263">
        <v>0</v>
      </c>
    </row>
    <row r="264" spans="1:2" x14ac:dyDescent="0.25">
      <c r="A264" t="s">
        <v>306</v>
      </c>
      <c r="B264">
        <v>0</v>
      </c>
    </row>
    <row r="265" spans="1:2" x14ac:dyDescent="0.25">
      <c r="A265" t="s">
        <v>307</v>
      </c>
      <c r="B265">
        <v>0</v>
      </c>
    </row>
    <row r="266" spans="1:2" x14ac:dyDescent="0.25">
      <c r="A266" t="s">
        <v>308</v>
      </c>
      <c r="B266">
        <v>0</v>
      </c>
    </row>
    <row r="267" spans="1:2" x14ac:dyDescent="0.25">
      <c r="A267" t="s">
        <v>309</v>
      </c>
      <c r="B267">
        <v>0</v>
      </c>
    </row>
    <row r="268" spans="1:2" x14ac:dyDescent="0.25">
      <c r="A268" t="s">
        <v>310</v>
      </c>
      <c r="B268">
        <v>0</v>
      </c>
    </row>
    <row r="269" spans="1:2" x14ac:dyDescent="0.25">
      <c r="A269" t="s">
        <v>311</v>
      </c>
      <c r="B269">
        <v>0</v>
      </c>
    </row>
    <row r="270" spans="1:2" x14ac:dyDescent="0.25">
      <c r="A270" t="s">
        <v>312</v>
      </c>
      <c r="B270">
        <v>0</v>
      </c>
    </row>
    <row r="271" spans="1:2" x14ac:dyDescent="0.25">
      <c r="A271" t="s">
        <v>313</v>
      </c>
      <c r="B271">
        <v>2.2000000000000001E-7</v>
      </c>
    </row>
    <row r="272" spans="1:2" x14ac:dyDescent="0.25">
      <c r="A272" t="s">
        <v>314</v>
      </c>
      <c r="B272">
        <v>6.2999999999999998E-6</v>
      </c>
    </row>
    <row r="273" spans="1:2" x14ac:dyDescent="0.25">
      <c r="A273" t="s">
        <v>315</v>
      </c>
      <c r="B273">
        <v>8.8579999999999996E-5</v>
      </c>
    </row>
    <row r="274" spans="1:2" x14ac:dyDescent="0.25">
      <c r="A274" t="s">
        <v>316</v>
      </c>
      <c r="B274">
        <v>2.5500000000000001E-6</v>
      </c>
    </row>
    <row r="275" spans="1:2" x14ac:dyDescent="0.25">
      <c r="A275" t="s">
        <v>317</v>
      </c>
      <c r="B275">
        <v>1.2530000000000001E-4</v>
      </c>
    </row>
    <row r="276" spans="1:2" x14ac:dyDescent="0.25">
      <c r="A276" t="s">
        <v>318</v>
      </c>
      <c r="B276">
        <v>0</v>
      </c>
    </row>
    <row r="277" spans="1:2" x14ac:dyDescent="0.25">
      <c r="A277" t="s">
        <v>319</v>
      </c>
      <c r="B277">
        <v>0</v>
      </c>
    </row>
    <row r="278" spans="1:2" x14ac:dyDescent="0.25">
      <c r="A278" t="s">
        <v>320</v>
      </c>
      <c r="B278">
        <v>0</v>
      </c>
    </row>
    <row r="279" spans="1:2" x14ac:dyDescent="0.25">
      <c r="A279" t="s">
        <v>321</v>
      </c>
      <c r="B279">
        <v>0</v>
      </c>
    </row>
    <row r="280" spans="1:2" x14ac:dyDescent="0.25">
      <c r="A280" t="s">
        <v>322</v>
      </c>
      <c r="B280">
        <v>0</v>
      </c>
    </row>
    <row r="281" spans="1:2" x14ac:dyDescent="0.25">
      <c r="A281" t="s">
        <v>323</v>
      </c>
      <c r="B281">
        <v>3.1179999999999999</v>
      </c>
    </row>
    <row r="282" spans="1:2" x14ac:dyDescent="0.25">
      <c r="A282" t="s">
        <v>324</v>
      </c>
      <c r="B282">
        <v>1.9199999999999998E-6</v>
      </c>
    </row>
    <row r="283" spans="1:2" x14ac:dyDescent="0.25">
      <c r="A283" t="s">
        <v>325</v>
      </c>
      <c r="B283">
        <v>0</v>
      </c>
    </row>
    <row r="284" spans="1:2" x14ac:dyDescent="0.25">
      <c r="A284" t="s">
        <v>326</v>
      </c>
      <c r="B284">
        <v>0</v>
      </c>
    </row>
    <row r="285" spans="1:2" x14ac:dyDescent="0.25">
      <c r="A285" t="s">
        <v>327</v>
      </c>
      <c r="B285">
        <v>2.4099999999999998E-6</v>
      </c>
    </row>
    <row r="286" spans="1:2" x14ac:dyDescent="0.25">
      <c r="A286" t="s">
        <v>328</v>
      </c>
      <c r="B286">
        <v>9.2700000000000004E-5</v>
      </c>
    </row>
    <row r="287" spans="1:2" x14ac:dyDescent="0.25">
      <c r="A287" t="s">
        <v>329</v>
      </c>
      <c r="B287">
        <v>0</v>
      </c>
    </row>
    <row r="288" spans="1:2" x14ac:dyDescent="0.25">
      <c r="A288" t="s">
        <v>330</v>
      </c>
      <c r="B288">
        <v>0</v>
      </c>
    </row>
    <row r="289" spans="1:2" x14ac:dyDescent="0.25">
      <c r="A289" t="s">
        <v>331</v>
      </c>
      <c r="B289">
        <v>0</v>
      </c>
    </row>
    <row r="290" spans="1:2" x14ac:dyDescent="0.25">
      <c r="A290" t="s">
        <v>332</v>
      </c>
      <c r="B290">
        <v>2.1E-7</v>
      </c>
    </row>
    <row r="291" spans="1:2" x14ac:dyDescent="0.25">
      <c r="A291" t="s">
        <v>333</v>
      </c>
      <c r="B291">
        <v>0</v>
      </c>
    </row>
    <row r="292" spans="1:2" x14ac:dyDescent="0.25">
      <c r="A292" t="s">
        <v>334</v>
      </c>
      <c r="B292">
        <v>1.24E-6</v>
      </c>
    </row>
    <row r="293" spans="1:2" x14ac:dyDescent="0.25">
      <c r="A293" t="s">
        <v>335</v>
      </c>
      <c r="B293">
        <v>0</v>
      </c>
    </row>
    <row r="294" spans="1:2" x14ac:dyDescent="0.25">
      <c r="A294" t="s">
        <v>336</v>
      </c>
      <c r="B294">
        <v>0</v>
      </c>
    </row>
    <row r="295" spans="1:2" x14ac:dyDescent="0.25">
      <c r="A295" t="s">
        <v>337</v>
      </c>
      <c r="B295">
        <v>0</v>
      </c>
    </row>
    <row r="296" spans="1:2" x14ac:dyDescent="0.25">
      <c r="A296" t="s">
        <v>338</v>
      </c>
      <c r="B296">
        <v>0</v>
      </c>
    </row>
    <row r="297" spans="1:2" x14ac:dyDescent="0.25">
      <c r="A297" t="s">
        <v>339</v>
      </c>
      <c r="B297">
        <v>0</v>
      </c>
    </row>
    <row r="298" spans="1:2" x14ac:dyDescent="0.25">
      <c r="A298" t="s">
        <v>340</v>
      </c>
      <c r="B298">
        <v>0.86360000000000003</v>
      </c>
    </row>
    <row r="299" spans="1:2" x14ac:dyDescent="0.25">
      <c r="A299" t="s">
        <v>341</v>
      </c>
      <c r="B299">
        <v>1.222E-3</v>
      </c>
    </row>
    <row r="300" spans="1:2" x14ac:dyDescent="0.25">
      <c r="A300" t="s">
        <v>342</v>
      </c>
      <c r="B300">
        <v>0</v>
      </c>
    </row>
    <row r="301" spans="1:2" x14ac:dyDescent="0.25">
      <c r="A301" t="s">
        <v>343</v>
      </c>
      <c r="B301">
        <v>0</v>
      </c>
    </row>
    <row r="302" spans="1:2" x14ac:dyDescent="0.25">
      <c r="A302" t="s">
        <v>344</v>
      </c>
      <c r="B302">
        <v>0</v>
      </c>
    </row>
    <row r="303" spans="1:2" x14ac:dyDescent="0.25">
      <c r="A303" t="s">
        <v>345</v>
      </c>
      <c r="B303">
        <v>0</v>
      </c>
    </row>
    <row r="304" spans="1:2" x14ac:dyDescent="0.25">
      <c r="A304" t="s">
        <v>346</v>
      </c>
      <c r="B304">
        <v>0</v>
      </c>
    </row>
    <row r="305" spans="1:2" x14ac:dyDescent="0.25">
      <c r="A305" t="s">
        <v>347</v>
      </c>
      <c r="B305">
        <v>7.5000000000000002E-7</v>
      </c>
    </row>
    <row r="306" spans="1:2" x14ac:dyDescent="0.25">
      <c r="A306" t="s">
        <v>348</v>
      </c>
      <c r="B306">
        <v>3.2310000000000001E-5</v>
      </c>
    </row>
    <row r="307" spans="1:2" x14ac:dyDescent="0.25">
      <c r="A307" t="s">
        <v>349</v>
      </c>
      <c r="B307">
        <v>0</v>
      </c>
    </row>
    <row r="308" spans="1:2" x14ac:dyDescent="0.25">
      <c r="A308" t="s">
        <v>350</v>
      </c>
      <c r="B308">
        <v>2.0901000000000001</v>
      </c>
    </row>
    <row r="309" spans="1:2" x14ac:dyDescent="0.25">
      <c r="A309" t="s">
        <v>351</v>
      </c>
      <c r="B309">
        <v>0</v>
      </c>
    </row>
    <row r="310" spans="1:2" x14ac:dyDescent="0.25">
      <c r="A310" t="s">
        <v>352</v>
      </c>
      <c r="B310">
        <v>0</v>
      </c>
    </row>
    <row r="311" spans="1:2" x14ac:dyDescent="0.25">
      <c r="A311" t="s">
        <v>353</v>
      </c>
      <c r="B311">
        <v>0</v>
      </c>
    </row>
    <row r="312" spans="1:2" x14ac:dyDescent="0.25">
      <c r="A312" t="s">
        <v>354</v>
      </c>
      <c r="B312">
        <v>3.413E-4</v>
      </c>
    </row>
    <row r="313" spans="1:2" x14ac:dyDescent="0.25">
      <c r="A313" t="s">
        <v>355</v>
      </c>
      <c r="B313">
        <v>0</v>
      </c>
    </row>
    <row r="314" spans="1:2" x14ac:dyDescent="0.25">
      <c r="A314" t="s">
        <v>356</v>
      </c>
      <c r="B314">
        <v>93794.15</v>
      </c>
    </row>
    <row r="315" spans="1:2" x14ac:dyDescent="0.25">
      <c r="A315" t="s">
        <v>357</v>
      </c>
      <c r="B315">
        <v>0</v>
      </c>
    </row>
    <row r="316" spans="1:2" x14ac:dyDescent="0.25">
      <c r="A316" t="s">
        <v>358</v>
      </c>
      <c r="B316">
        <v>3387.46</v>
      </c>
    </row>
    <row r="317" spans="1:2" x14ac:dyDescent="0.25">
      <c r="A317" t="s">
        <v>359</v>
      </c>
      <c r="B317">
        <v>0</v>
      </c>
    </row>
    <row r="318" spans="1:2" x14ac:dyDescent="0.25">
      <c r="A318" t="s">
        <v>360</v>
      </c>
      <c r="B318">
        <v>0</v>
      </c>
    </row>
    <row r="319" spans="1:2" x14ac:dyDescent="0.25">
      <c r="A319" t="s">
        <v>361</v>
      </c>
      <c r="B319">
        <v>2.9770000000000003E-4</v>
      </c>
    </row>
    <row r="320" spans="1:2" x14ac:dyDescent="0.25">
      <c r="A320" t="s">
        <v>362</v>
      </c>
      <c r="B320">
        <v>3.9909999999999998E-3</v>
      </c>
    </row>
    <row r="321" spans="1:2" x14ac:dyDescent="0.25">
      <c r="A321" t="s">
        <v>363</v>
      </c>
      <c r="B321">
        <v>3.2899999999999999E-2</v>
      </c>
    </row>
    <row r="322" spans="1:2" x14ac:dyDescent="0.25">
      <c r="A322" t="s">
        <v>364</v>
      </c>
      <c r="B322">
        <v>0</v>
      </c>
    </row>
    <row r="323" spans="1:2" x14ac:dyDescent="0.25">
      <c r="A323" t="s">
        <v>365</v>
      </c>
      <c r="B323">
        <v>0</v>
      </c>
    </row>
    <row r="324" spans="1:2" x14ac:dyDescent="0.25">
      <c r="A324" t="s">
        <v>366</v>
      </c>
      <c r="B324">
        <v>0</v>
      </c>
    </row>
    <row r="325" spans="1:2" x14ac:dyDescent="0.25">
      <c r="A325" t="s">
        <v>367</v>
      </c>
      <c r="B325">
        <v>0.78500000000000003</v>
      </c>
    </row>
    <row r="326" spans="1:2" x14ac:dyDescent="0.25">
      <c r="A326" t="s">
        <v>368</v>
      </c>
      <c r="B326">
        <v>2.5829999999999998E-3</v>
      </c>
    </row>
    <row r="327" spans="1:2" x14ac:dyDescent="0.25">
      <c r="A327" t="s">
        <v>369</v>
      </c>
      <c r="B327">
        <v>5.66E-6</v>
      </c>
    </row>
    <row r="328" spans="1:2" x14ac:dyDescent="0.25">
      <c r="A328" t="s">
        <v>370</v>
      </c>
      <c r="B328">
        <v>0</v>
      </c>
    </row>
    <row r="329" spans="1:2" x14ac:dyDescent="0.25">
      <c r="A329" t="s">
        <v>371</v>
      </c>
      <c r="B329">
        <v>0</v>
      </c>
    </row>
    <row r="330" spans="1:2" x14ac:dyDescent="0.25">
      <c r="A330" t="s">
        <v>372</v>
      </c>
      <c r="B330">
        <v>2.51E-5</v>
      </c>
    </row>
    <row r="331" spans="1:2" x14ac:dyDescent="0.25">
      <c r="A331" t="s">
        <v>373</v>
      </c>
      <c r="B331">
        <v>5.017E-4</v>
      </c>
    </row>
    <row r="332" spans="1:2" x14ac:dyDescent="0.25">
      <c r="A332" t="s">
        <v>374</v>
      </c>
      <c r="B332">
        <v>2.7360000000000002E-3</v>
      </c>
    </row>
    <row r="333" spans="1:2" x14ac:dyDescent="0.25">
      <c r="A333" t="s">
        <v>375</v>
      </c>
      <c r="B333">
        <v>2.9562E-3</v>
      </c>
    </row>
    <row r="334" spans="1:2" x14ac:dyDescent="0.25">
      <c r="A334" t="s">
        <v>376</v>
      </c>
      <c r="B334">
        <v>1.0019</v>
      </c>
    </row>
    <row r="335" spans="1:2" x14ac:dyDescent="0.25">
      <c r="A335" t="s">
        <v>377</v>
      </c>
      <c r="B335">
        <v>0.29389999999999999</v>
      </c>
    </row>
    <row r="336" spans="1:2" x14ac:dyDescent="0.25">
      <c r="A336" t="s">
        <v>378</v>
      </c>
      <c r="B336">
        <v>0.33850000000000002</v>
      </c>
    </row>
    <row r="337" spans="1:2" x14ac:dyDescent="0.25">
      <c r="A337" t="s">
        <v>379</v>
      </c>
      <c r="B337">
        <v>4.0999999999999999E-7</v>
      </c>
    </row>
    <row r="338" spans="1:2" x14ac:dyDescent="0.25">
      <c r="A338" t="s">
        <v>380</v>
      </c>
      <c r="B338">
        <v>1.1399999999999999E-5</v>
      </c>
    </row>
    <row r="339" spans="1:2" x14ac:dyDescent="0.25">
      <c r="A339" t="s">
        <v>381</v>
      </c>
      <c r="B339">
        <v>9.9999999999999995E-8</v>
      </c>
    </row>
    <row r="340" spans="1:2" x14ac:dyDescent="0.25">
      <c r="A340" t="s">
        <v>382</v>
      </c>
      <c r="B340">
        <v>4.3000000000000003E-6</v>
      </c>
    </row>
    <row r="341" spans="1:2" x14ac:dyDescent="0.25">
      <c r="A341" t="s">
        <v>383</v>
      </c>
      <c r="B341">
        <v>0</v>
      </c>
    </row>
    <row r="342" spans="1:2" x14ac:dyDescent="0.25">
      <c r="A342" t="s">
        <v>384</v>
      </c>
      <c r="B342">
        <v>0</v>
      </c>
    </row>
    <row r="343" spans="1:2" x14ac:dyDescent="0.25">
      <c r="A343" t="s">
        <v>385</v>
      </c>
      <c r="B343">
        <v>0</v>
      </c>
    </row>
    <row r="344" spans="1:2" x14ac:dyDescent="0.25">
      <c r="A344" t="s">
        <v>386</v>
      </c>
      <c r="B344">
        <v>0</v>
      </c>
    </row>
    <row r="345" spans="1:2" x14ac:dyDescent="0.25">
      <c r="A345" t="s">
        <v>387</v>
      </c>
      <c r="B345">
        <v>0</v>
      </c>
    </row>
    <row r="346" spans="1:2" x14ac:dyDescent="0.25">
      <c r="A346" t="s">
        <v>388</v>
      </c>
      <c r="B346">
        <v>0</v>
      </c>
    </row>
    <row r="347" spans="1:2" x14ac:dyDescent="0.25">
      <c r="A347" t="s">
        <v>389</v>
      </c>
      <c r="B347">
        <v>1.3680000000000001E-3</v>
      </c>
    </row>
    <row r="348" spans="1:2" x14ac:dyDescent="0.25">
      <c r="A348" t="s">
        <v>390</v>
      </c>
      <c r="B348">
        <v>5.0999999999999999E-7</v>
      </c>
    </row>
    <row r="349" spans="1:2" x14ac:dyDescent="0.25">
      <c r="A349" t="s">
        <v>391</v>
      </c>
      <c r="B349">
        <v>2.0339999999999998E-5</v>
      </c>
    </row>
    <row r="350" spans="1:2" x14ac:dyDescent="0.25">
      <c r="A350" t="s">
        <v>392</v>
      </c>
      <c r="B350">
        <v>0.2392</v>
      </c>
    </row>
    <row r="351" spans="1:2" x14ac:dyDescent="0.25">
      <c r="A351" t="s">
        <v>393</v>
      </c>
      <c r="B351">
        <v>3.5990000000000002E-4</v>
      </c>
    </row>
    <row r="352" spans="1:2" x14ac:dyDescent="0.25">
      <c r="A352" t="s">
        <v>394</v>
      </c>
      <c r="B352">
        <v>0.25459999999999999</v>
      </c>
    </row>
    <row r="353" spans="1:2" x14ac:dyDescent="0.25">
      <c r="A353" t="s">
        <v>395</v>
      </c>
      <c r="B353">
        <v>25.75</v>
      </c>
    </row>
    <row r="354" spans="1:2" x14ac:dyDescent="0.25">
      <c r="A354" t="s">
        <v>396</v>
      </c>
      <c r="B354">
        <v>3.6429999999999997E-2</v>
      </c>
    </row>
    <row r="355" spans="1:2" x14ac:dyDescent="0.25">
      <c r="A355" t="s">
        <v>397</v>
      </c>
      <c r="B355">
        <v>0.18959999999999999</v>
      </c>
    </row>
    <row r="356" spans="1:2" x14ac:dyDescent="0.25">
      <c r="A356" t="s">
        <v>398</v>
      </c>
      <c r="B356">
        <v>0</v>
      </c>
    </row>
    <row r="357" spans="1:2" x14ac:dyDescent="0.25">
      <c r="A357" t="s">
        <v>399</v>
      </c>
      <c r="B357">
        <v>1.6199999999999999E-6</v>
      </c>
    </row>
    <row r="358" spans="1:2" x14ac:dyDescent="0.25">
      <c r="A358" t="s">
        <v>400</v>
      </c>
      <c r="B358">
        <v>0</v>
      </c>
    </row>
    <row r="359" spans="1:2" x14ac:dyDescent="0.25">
      <c r="A359" t="s">
        <v>401</v>
      </c>
      <c r="B359">
        <v>0</v>
      </c>
    </row>
    <row r="360" spans="1:2" x14ac:dyDescent="0.25">
      <c r="A360" t="s">
        <v>402</v>
      </c>
      <c r="B360">
        <v>0</v>
      </c>
    </row>
    <row r="361" spans="1:2" x14ac:dyDescent="0.25">
      <c r="A361" t="s">
        <v>403</v>
      </c>
      <c r="B361">
        <v>0</v>
      </c>
    </row>
    <row r="362" spans="1:2" x14ac:dyDescent="0.25">
      <c r="A362" t="s">
        <v>404</v>
      </c>
      <c r="B362">
        <v>2.2699999999999999E-6</v>
      </c>
    </row>
    <row r="363" spans="1:2" x14ac:dyDescent="0.25">
      <c r="A363" t="s">
        <v>405</v>
      </c>
      <c r="B363">
        <v>0</v>
      </c>
    </row>
    <row r="364" spans="1:2" x14ac:dyDescent="0.25">
      <c r="A364" t="s">
        <v>406</v>
      </c>
      <c r="B364">
        <v>0</v>
      </c>
    </row>
    <row r="365" spans="1:2" x14ac:dyDescent="0.25">
      <c r="A365" t="s">
        <v>407</v>
      </c>
      <c r="B365">
        <v>0</v>
      </c>
    </row>
    <row r="366" spans="1:2" x14ac:dyDescent="0.25">
      <c r="A366" t="s">
        <v>408</v>
      </c>
      <c r="B366">
        <v>0</v>
      </c>
    </row>
    <row r="367" spans="1:2" x14ac:dyDescent="0.25">
      <c r="A367" t="s">
        <v>409</v>
      </c>
      <c r="B367">
        <v>4.33E-6</v>
      </c>
    </row>
    <row r="368" spans="1:2" x14ac:dyDescent="0.25">
      <c r="A368" t="s">
        <v>410</v>
      </c>
      <c r="B368">
        <v>0</v>
      </c>
    </row>
    <row r="369" spans="1:2" x14ac:dyDescent="0.25">
      <c r="A369" t="s">
        <v>411</v>
      </c>
      <c r="B369">
        <v>0</v>
      </c>
    </row>
    <row r="370" spans="1:2" x14ac:dyDescent="0.25">
      <c r="A370" t="s">
        <v>412</v>
      </c>
      <c r="B370">
        <v>3.8000000000000001E-7</v>
      </c>
    </row>
    <row r="371" spans="1:2" x14ac:dyDescent="0.25">
      <c r="A371" t="s">
        <v>413</v>
      </c>
      <c r="B371">
        <v>9.5999999999999991E-7</v>
      </c>
    </row>
    <row r="372" spans="1:2" x14ac:dyDescent="0.25">
      <c r="A372" t="s">
        <v>414</v>
      </c>
      <c r="B372">
        <v>0</v>
      </c>
    </row>
    <row r="373" spans="1:2" x14ac:dyDescent="0.25">
      <c r="A373" t="s">
        <v>415</v>
      </c>
      <c r="B373">
        <v>0</v>
      </c>
    </row>
    <row r="374" spans="1:2" x14ac:dyDescent="0.25">
      <c r="A374" t="s">
        <v>416</v>
      </c>
      <c r="B374">
        <v>0.41410000000000002</v>
      </c>
    </row>
    <row r="375" spans="1:2" x14ac:dyDescent="0.25">
      <c r="A375" t="s">
        <v>417</v>
      </c>
      <c r="B375">
        <v>0</v>
      </c>
    </row>
    <row r="376" spans="1:2" x14ac:dyDescent="0.25">
      <c r="A376" t="s">
        <v>418</v>
      </c>
      <c r="B376">
        <v>7.0999999999999998E-7</v>
      </c>
    </row>
    <row r="377" spans="1:2" x14ac:dyDescent="0.25">
      <c r="A377" t="s">
        <v>419</v>
      </c>
      <c r="B377">
        <v>4.7999999999999996E-7</v>
      </c>
    </row>
    <row r="378" spans="1:2" x14ac:dyDescent="0.25">
      <c r="A378" t="s">
        <v>420</v>
      </c>
      <c r="B378">
        <v>1.3149999999999999E-5</v>
      </c>
    </row>
    <row r="379" spans="1:2" x14ac:dyDescent="0.25">
      <c r="A379" t="s">
        <v>421</v>
      </c>
      <c r="B379">
        <v>4.4569999999999999E-2</v>
      </c>
    </row>
    <row r="380" spans="1:2" x14ac:dyDescent="0.25">
      <c r="A380" t="s">
        <v>422</v>
      </c>
      <c r="B380">
        <v>6.3009999999999995E-5</v>
      </c>
    </row>
    <row r="381" spans="1:2" x14ac:dyDescent="0.25">
      <c r="A381" t="s">
        <v>423</v>
      </c>
      <c r="B381">
        <v>4.9999999999999998E-8</v>
      </c>
    </row>
    <row r="382" spans="1:2" x14ac:dyDescent="0.25">
      <c r="A382" t="s">
        <v>424</v>
      </c>
      <c r="B382">
        <v>0</v>
      </c>
    </row>
    <row r="383" spans="1:2" x14ac:dyDescent="0.25">
      <c r="A383" t="s">
        <v>425</v>
      </c>
      <c r="B383">
        <v>1.384E-5</v>
      </c>
    </row>
    <row r="384" spans="1:2" x14ac:dyDescent="0.25">
      <c r="A384" t="s">
        <v>426</v>
      </c>
      <c r="B384">
        <v>0</v>
      </c>
    </row>
    <row r="385" spans="1:2" x14ac:dyDescent="0.25">
      <c r="A385" t="s">
        <v>427</v>
      </c>
      <c r="B385">
        <v>0</v>
      </c>
    </row>
    <row r="386" spans="1:2" x14ac:dyDescent="0.25">
      <c r="A386" t="s">
        <v>428</v>
      </c>
      <c r="B386">
        <v>0</v>
      </c>
    </row>
    <row r="387" spans="1:2" x14ac:dyDescent="0.25">
      <c r="A387" t="s">
        <v>429</v>
      </c>
      <c r="B387">
        <v>0</v>
      </c>
    </row>
    <row r="388" spans="1:2" x14ac:dyDescent="0.25">
      <c r="A388" t="s">
        <v>430</v>
      </c>
      <c r="B388">
        <v>0</v>
      </c>
    </row>
    <row r="389" spans="1:2" x14ac:dyDescent="0.25">
      <c r="A389" t="s">
        <v>431</v>
      </c>
      <c r="B389">
        <v>0</v>
      </c>
    </row>
    <row r="390" spans="1:2" x14ac:dyDescent="0.25">
      <c r="A390" t="s">
        <v>432</v>
      </c>
      <c r="B390">
        <v>0</v>
      </c>
    </row>
    <row r="391" spans="1:2" x14ac:dyDescent="0.25">
      <c r="A391" t="s">
        <v>433</v>
      </c>
      <c r="B391">
        <v>0</v>
      </c>
    </row>
    <row r="392" spans="1:2" x14ac:dyDescent="0.25">
      <c r="A392" t="s">
        <v>434</v>
      </c>
      <c r="B392">
        <v>0</v>
      </c>
    </row>
    <row r="393" spans="1:2" x14ac:dyDescent="0.25">
      <c r="A393" t="s">
        <v>435</v>
      </c>
      <c r="B393">
        <v>0</v>
      </c>
    </row>
    <row r="394" spans="1:2" x14ac:dyDescent="0.25">
      <c r="A394" t="s">
        <v>436</v>
      </c>
      <c r="B394">
        <v>0</v>
      </c>
    </row>
    <row r="395" spans="1:2" x14ac:dyDescent="0.25">
      <c r="A395" t="s">
        <v>437</v>
      </c>
      <c r="B395">
        <v>0</v>
      </c>
    </row>
    <row r="396" spans="1:2" x14ac:dyDescent="0.25">
      <c r="A396" t="s">
        <v>438</v>
      </c>
      <c r="B396">
        <v>2.2000000000000001E-7</v>
      </c>
    </row>
    <row r="397" spans="1:2" x14ac:dyDescent="0.25">
      <c r="A397" t="s">
        <v>439</v>
      </c>
      <c r="B397">
        <v>2.185E-4</v>
      </c>
    </row>
    <row r="398" spans="1:2" x14ac:dyDescent="0.25">
      <c r="A398" t="s">
        <v>440</v>
      </c>
      <c r="B398">
        <v>0</v>
      </c>
    </row>
    <row r="399" spans="1:2" x14ac:dyDescent="0.25">
      <c r="A399" t="s">
        <v>441</v>
      </c>
      <c r="B399">
        <v>0</v>
      </c>
    </row>
    <row r="400" spans="1:2" x14ac:dyDescent="0.25">
      <c r="A400" t="s">
        <v>442</v>
      </c>
      <c r="B400">
        <v>7.9999999999999996E-7</v>
      </c>
    </row>
    <row r="401" spans="1:2" x14ac:dyDescent="0.25">
      <c r="A401" t="s">
        <v>443</v>
      </c>
      <c r="B401">
        <v>4.4100000000000001E-5</v>
      </c>
    </row>
    <row r="402" spans="1:2" x14ac:dyDescent="0.25">
      <c r="A402" t="s">
        <v>444</v>
      </c>
      <c r="B402">
        <v>0</v>
      </c>
    </row>
    <row r="403" spans="1:2" x14ac:dyDescent="0.25">
      <c r="A403" t="s">
        <v>445</v>
      </c>
      <c r="B403">
        <v>0</v>
      </c>
    </row>
    <row r="404" spans="1:2" x14ac:dyDescent="0.25">
      <c r="A404" t="s">
        <v>446</v>
      </c>
      <c r="B404">
        <v>0</v>
      </c>
    </row>
    <row r="405" spans="1:2" x14ac:dyDescent="0.25">
      <c r="A405" t="s">
        <v>447</v>
      </c>
      <c r="B405">
        <v>0</v>
      </c>
    </row>
    <row r="406" spans="1:2" x14ac:dyDescent="0.25">
      <c r="A406" t="s">
        <v>448</v>
      </c>
      <c r="B406">
        <v>0</v>
      </c>
    </row>
    <row r="407" spans="1:2" x14ac:dyDescent="0.25">
      <c r="A407" t="s">
        <v>449</v>
      </c>
      <c r="B407">
        <v>0</v>
      </c>
    </row>
    <row r="408" spans="1:2" x14ac:dyDescent="0.25">
      <c r="A408" t="s">
        <v>450</v>
      </c>
      <c r="B408">
        <v>0</v>
      </c>
    </row>
    <row r="409" spans="1:2" x14ac:dyDescent="0.25">
      <c r="A409" t="s">
        <v>451</v>
      </c>
      <c r="B409">
        <v>0</v>
      </c>
    </row>
    <row r="410" spans="1:2" x14ac:dyDescent="0.25">
      <c r="A410" t="s">
        <v>452</v>
      </c>
      <c r="B410">
        <v>0</v>
      </c>
    </row>
    <row r="411" spans="1:2" x14ac:dyDescent="0.25">
      <c r="A411" t="s">
        <v>453</v>
      </c>
      <c r="B411">
        <v>0</v>
      </c>
    </row>
    <row r="412" spans="1:2" x14ac:dyDescent="0.25">
      <c r="A412" t="s">
        <v>454</v>
      </c>
      <c r="B412">
        <v>4.3000000000000001E-7</v>
      </c>
    </row>
    <row r="413" spans="1:2" x14ac:dyDescent="0.25">
      <c r="A413" t="s">
        <v>455</v>
      </c>
      <c r="B413">
        <v>0</v>
      </c>
    </row>
    <row r="414" spans="1:2" x14ac:dyDescent="0.25">
      <c r="A414" t="s">
        <v>456</v>
      </c>
      <c r="B414">
        <v>706.74</v>
      </c>
    </row>
    <row r="415" spans="1:2" x14ac:dyDescent="0.25">
      <c r="A415" t="s">
        <v>457</v>
      </c>
      <c r="B415">
        <v>2.0912000000000002</v>
      </c>
    </row>
    <row r="416" spans="1:2" x14ac:dyDescent="0.25">
      <c r="A416" t="s">
        <v>458</v>
      </c>
      <c r="B416">
        <v>0</v>
      </c>
    </row>
    <row r="417" spans="1:2" x14ac:dyDescent="0.25">
      <c r="A417" t="s">
        <v>459</v>
      </c>
      <c r="B417">
        <v>0</v>
      </c>
    </row>
    <row r="418" spans="1:2" x14ac:dyDescent="0.25">
      <c r="A418" t="s">
        <v>460</v>
      </c>
      <c r="B418">
        <v>706.61</v>
      </c>
    </row>
    <row r="419" spans="1:2" x14ac:dyDescent="0.25">
      <c r="A419" t="s">
        <v>461</v>
      </c>
      <c r="B419">
        <v>93864</v>
      </c>
    </row>
    <row r="420" spans="1:2" x14ac:dyDescent="0.25">
      <c r="A420" t="s">
        <v>462</v>
      </c>
      <c r="B420">
        <v>3389.41</v>
      </c>
    </row>
    <row r="421" spans="1:2" x14ac:dyDescent="0.25">
      <c r="A421" t="s">
        <v>463</v>
      </c>
      <c r="B421">
        <v>2.0874999999999999</v>
      </c>
    </row>
    <row r="422" spans="1:2" x14ac:dyDescent="0.25">
      <c r="A422" t="s">
        <v>464</v>
      </c>
      <c r="B422">
        <v>0.78410000000000002</v>
      </c>
    </row>
    <row r="423" spans="1:2" x14ac:dyDescent="0.25">
      <c r="A423" t="s">
        <v>465</v>
      </c>
      <c r="B423">
        <v>0.3382</v>
      </c>
    </row>
    <row r="424" spans="1:2" x14ac:dyDescent="0.25">
      <c r="A424" t="s">
        <v>466</v>
      </c>
      <c r="B424">
        <v>1.0013000000000001</v>
      </c>
    </row>
    <row r="425" spans="1:2" x14ac:dyDescent="0.25">
      <c r="A425" t="s">
        <v>467</v>
      </c>
      <c r="B425">
        <v>0.38469999999999999</v>
      </c>
    </row>
    <row r="426" spans="1:2" x14ac:dyDescent="0.25">
      <c r="A426" t="s">
        <v>468</v>
      </c>
      <c r="B426">
        <v>5.9859999999999997E-2</v>
      </c>
    </row>
    <row r="427" spans="1:2" x14ac:dyDescent="0.25">
      <c r="A427" t="s">
        <v>469</v>
      </c>
      <c r="B427">
        <v>0</v>
      </c>
    </row>
    <row r="428" spans="1:2" x14ac:dyDescent="0.25">
      <c r="A428" t="s">
        <v>470</v>
      </c>
      <c r="B428">
        <v>0.1217</v>
      </c>
    </row>
    <row r="429" spans="1:2" x14ac:dyDescent="0.25">
      <c r="A429" t="s">
        <v>471</v>
      </c>
      <c r="B429">
        <v>0</v>
      </c>
    </row>
    <row r="430" spans="1:2" x14ac:dyDescent="0.25">
      <c r="A430" t="s">
        <v>472</v>
      </c>
      <c r="B430">
        <v>0</v>
      </c>
    </row>
    <row r="431" spans="1:2" x14ac:dyDescent="0.25">
      <c r="A431" t="s">
        <v>473</v>
      </c>
      <c r="B431">
        <v>0</v>
      </c>
    </row>
    <row r="432" spans="1:2" x14ac:dyDescent="0.25">
      <c r="A432" t="s">
        <v>474</v>
      </c>
      <c r="B432">
        <v>0</v>
      </c>
    </row>
    <row r="433" spans="1:2" x14ac:dyDescent="0.25">
      <c r="A433" t="s">
        <v>475</v>
      </c>
      <c r="B433">
        <v>20.97</v>
      </c>
    </row>
    <row r="434" spans="1:2" x14ac:dyDescent="0.25">
      <c r="A434" t="s">
        <v>476</v>
      </c>
      <c r="B434">
        <v>14.423</v>
      </c>
    </row>
    <row r="435" spans="1:2" x14ac:dyDescent="0.25">
      <c r="A435" t="s">
        <v>477</v>
      </c>
      <c r="B435">
        <v>0</v>
      </c>
    </row>
    <row r="436" spans="1:2" x14ac:dyDescent="0.25">
      <c r="A436" t="s">
        <v>478</v>
      </c>
      <c r="B436">
        <v>20.93</v>
      </c>
    </row>
    <row r="437" spans="1:2" x14ac:dyDescent="0.25">
      <c r="A437" t="s">
        <v>479</v>
      </c>
      <c r="B437">
        <v>1.0760000000000001</v>
      </c>
    </row>
    <row r="438" spans="1:2" x14ac:dyDescent="0.25">
      <c r="A438" t="s">
        <v>480</v>
      </c>
      <c r="B438">
        <v>0</v>
      </c>
    </row>
    <row r="439" spans="1:2" x14ac:dyDescent="0.25">
      <c r="A439" t="s">
        <v>481</v>
      </c>
      <c r="B439">
        <v>0</v>
      </c>
    </row>
    <row r="440" spans="1:2" x14ac:dyDescent="0.25">
      <c r="A440" t="s">
        <v>482</v>
      </c>
      <c r="B440">
        <v>0</v>
      </c>
    </row>
    <row r="441" spans="1:2" x14ac:dyDescent="0.25">
      <c r="A441" t="s">
        <v>483</v>
      </c>
      <c r="B441">
        <v>0</v>
      </c>
    </row>
    <row r="442" spans="1:2" x14ac:dyDescent="0.25">
      <c r="A442" t="s">
        <v>484</v>
      </c>
      <c r="B442">
        <v>0</v>
      </c>
    </row>
    <row r="443" spans="1:2" x14ac:dyDescent="0.25">
      <c r="A443" t="s">
        <v>485</v>
      </c>
      <c r="B443">
        <v>0</v>
      </c>
    </row>
    <row r="444" spans="1:2" x14ac:dyDescent="0.25">
      <c r="A444" t="s">
        <v>486</v>
      </c>
      <c r="B444">
        <v>0</v>
      </c>
    </row>
    <row r="445" spans="1:2" x14ac:dyDescent="0.25">
      <c r="A445" t="s">
        <v>487</v>
      </c>
      <c r="B445">
        <v>0</v>
      </c>
    </row>
    <row r="446" spans="1:2" x14ac:dyDescent="0.25">
      <c r="A446" t="s">
        <v>488</v>
      </c>
      <c r="B446">
        <v>0</v>
      </c>
    </row>
    <row r="447" spans="1:2" x14ac:dyDescent="0.25">
      <c r="A447" t="s">
        <v>489</v>
      </c>
      <c r="B447">
        <v>83.07</v>
      </c>
    </row>
    <row r="448" spans="1:2" x14ac:dyDescent="0.25">
      <c r="A448" t="s">
        <v>490</v>
      </c>
      <c r="B448">
        <v>0</v>
      </c>
    </row>
    <row r="449" spans="1:2" x14ac:dyDescent="0.25">
      <c r="A449" t="s">
        <v>491</v>
      </c>
      <c r="B449">
        <v>100.77</v>
      </c>
    </row>
    <row r="450" spans="1:2" x14ac:dyDescent="0.25">
      <c r="A450" t="s">
        <v>492</v>
      </c>
      <c r="B450">
        <v>0</v>
      </c>
    </row>
    <row r="451" spans="1:2" x14ac:dyDescent="0.25">
      <c r="A451" t="s">
        <v>493</v>
      </c>
      <c r="B451">
        <v>0.25430000000000003</v>
      </c>
    </row>
    <row r="452" spans="1:2" x14ac:dyDescent="0.25">
      <c r="A452" t="s">
        <v>494</v>
      </c>
      <c r="B452">
        <v>0</v>
      </c>
    </row>
    <row r="453" spans="1:2" x14ac:dyDescent="0.25">
      <c r="A453" t="s">
        <v>495</v>
      </c>
      <c r="B453">
        <v>0</v>
      </c>
    </row>
    <row r="454" spans="1:2" x14ac:dyDescent="0.25">
      <c r="A454" t="s">
        <v>496</v>
      </c>
      <c r="B454">
        <v>0</v>
      </c>
    </row>
    <row r="455" spans="1:2" x14ac:dyDescent="0.25">
      <c r="A455" t="s">
        <v>497</v>
      </c>
      <c r="B455">
        <v>0</v>
      </c>
    </row>
    <row r="456" spans="1:2" x14ac:dyDescent="0.25">
      <c r="A456" t="s">
        <v>498</v>
      </c>
      <c r="B456">
        <v>0</v>
      </c>
    </row>
    <row r="457" spans="1:2" x14ac:dyDescent="0.25">
      <c r="A457" t="s">
        <v>499</v>
      </c>
      <c r="B457">
        <v>0</v>
      </c>
    </row>
    <row r="458" spans="1:2" x14ac:dyDescent="0.25">
      <c r="A458" t="s">
        <v>500</v>
      </c>
      <c r="B458">
        <v>0</v>
      </c>
    </row>
    <row r="459" spans="1:2" x14ac:dyDescent="0.25">
      <c r="A459" t="s">
        <v>501</v>
      </c>
      <c r="B459">
        <v>0</v>
      </c>
    </row>
    <row r="460" spans="1:2" x14ac:dyDescent="0.25">
      <c r="A460" t="s">
        <v>502</v>
      </c>
      <c r="B460">
        <v>0</v>
      </c>
    </row>
    <row r="461" spans="1:2" x14ac:dyDescent="0.25">
      <c r="A461" t="s">
        <v>503</v>
      </c>
      <c r="B461">
        <v>0</v>
      </c>
    </row>
    <row r="462" spans="1:2" x14ac:dyDescent="0.25">
      <c r="A462" t="s">
        <v>504</v>
      </c>
      <c r="B462">
        <v>0</v>
      </c>
    </row>
    <row r="463" spans="1:2" x14ac:dyDescent="0.25">
      <c r="A463" t="s">
        <v>505</v>
      </c>
      <c r="B463">
        <v>0</v>
      </c>
    </row>
    <row r="464" spans="1:2" x14ac:dyDescent="0.25">
      <c r="A464" t="s">
        <v>506</v>
      </c>
      <c r="B464">
        <v>0</v>
      </c>
    </row>
    <row r="465" spans="1:2" x14ac:dyDescent="0.25">
      <c r="A465" t="s">
        <v>507</v>
      </c>
      <c r="B465">
        <v>3.49E-6</v>
      </c>
    </row>
    <row r="466" spans="1:2" x14ac:dyDescent="0.25">
      <c r="A466" t="s">
        <v>508</v>
      </c>
      <c r="B466">
        <v>0.32719999999999999</v>
      </c>
    </row>
    <row r="467" spans="1:2" x14ac:dyDescent="0.25">
      <c r="A467" t="s">
        <v>509</v>
      </c>
      <c r="B467">
        <v>0</v>
      </c>
    </row>
    <row r="468" spans="1:2" x14ac:dyDescent="0.25">
      <c r="A468" t="s">
        <v>510</v>
      </c>
      <c r="B468">
        <v>2.4199999999999998E-3</v>
      </c>
    </row>
    <row r="469" spans="1:2" x14ac:dyDescent="0.25">
      <c r="A469" t="s">
        <v>511</v>
      </c>
      <c r="B469">
        <v>2.1309999999999999E-2</v>
      </c>
    </row>
    <row r="470" spans="1:2" x14ac:dyDescent="0.25">
      <c r="A470" t="s">
        <v>512</v>
      </c>
      <c r="B470">
        <v>0</v>
      </c>
    </row>
    <row r="471" spans="1:2" x14ac:dyDescent="0.25">
      <c r="A471" t="s">
        <v>513</v>
      </c>
      <c r="B471">
        <v>0.47270000000000001</v>
      </c>
    </row>
    <row r="472" spans="1:2" x14ac:dyDescent="0.25">
      <c r="A472" t="s">
        <v>514</v>
      </c>
      <c r="B472">
        <v>1.861E-3</v>
      </c>
    </row>
    <row r="473" spans="1:2" x14ac:dyDescent="0.25">
      <c r="A473" t="s">
        <v>515</v>
      </c>
      <c r="B473">
        <v>1.401E-5</v>
      </c>
    </row>
    <row r="474" spans="1:2" x14ac:dyDescent="0.25">
      <c r="A474" t="s">
        <v>516</v>
      </c>
      <c r="B474">
        <v>1.3140000000000001</v>
      </c>
    </row>
    <row r="475" spans="1:2" x14ac:dyDescent="0.25">
      <c r="A475" t="s">
        <v>517</v>
      </c>
      <c r="B475">
        <v>0.23910000000000001</v>
      </c>
    </row>
    <row r="476" spans="1:2" x14ac:dyDescent="0.25">
      <c r="A476" t="s">
        <v>518</v>
      </c>
      <c r="B476">
        <v>0.33210000000000001</v>
      </c>
    </row>
    <row r="477" spans="1:2" x14ac:dyDescent="0.25">
      <c r="A477" t="s">
        <v>519</v>
      </c>
      <c r="B477">
        <v>118.7</v>
      </c>
    </row>
    <row r="478" spans="1:2" x14ac:dyDescent="0.25">
      <c r="A478" t="s">
        <v>520</v>
      </c>
      <c r="B478">
        <v>0.1026</v>
      </c>
    </row>
    <row r="479" spans="1:2" x14ac:dyDescent="0.25">
      <c r="A479" t="s">
        <v>521</v>
      </c>
      <c r="B479">
        <v>58.75</v>
      </c>
    </row>
    <row r="480" spans="1:2" x14ac:dyDescent="0.25">
      <c r="A480" t="s">
        <v>522</v>
      </c>
      <c r="B480">
        <v>0</v>
      </c>
    </row>
    <row r="481" spans="1:2" x14ac:dyDescent="0.25">
      <c r="A481" t="s">
        <v>523</v>
      </c>
      <c r="B481">
        <v>0</v>
      </c>
    </row>
    <row r="482" spans="1:2" x14ac:dyDescent="0.25">
      <c r="A482" t="s">
        <v>524</v>
      </c>
      <c r="B482">
        <v>55.8</v>
      </c>
    </row>
    <row r="483" spans="1:2" x14ac:dyDescent="0.25">
      <c r="A483" t="s">
        <v>525</v>
      </c>
      <c r="B483">
        <v>6.6389999999999999E-3</v>
      </c>
    </row>
    <row r="484" spans="1:2" x14ac:dyDescent="0.25">
      <c r="A484" t="s">
        <v>526</v>
      </c>
      <c r="B484">
        <v>5.2939999999999998E-5</v>
      </c>
    </row>
    <row r="485" spans="1:2" x14ac:dyDescent="0.25">
      <c r="A485" t="s">
        <v>527</v>
      </c>
      <c r="B485">
        <v>2.3999999999999998E-7</v>
      </c>
    </row>
    <row r="486" spans="1:2" x14ac:dyDescent="0.25">
      <c r="A486" t="s">
        <v>528</v>
      </c>
      <c r="B486">
        <v>2.2540000000000001E-2</v>
      </c>
    </row>
    <row r="487" spans="1:2" x14ac:dyDescent="0.25">
      <c r="A487" t="s">
        <v>529</v>
      </c>
      <c r="B487">
        <v>0</v>
      </c>
    </row>
    <row r="488" spans="1:2" x14ac:dyDescent="0.25">
      <c r="A488" t="s">
        <v>530</v>
      </c>
      <c r="B488">
        <v>0.86240000000000006</v>
      </c>
    </row>
    <row r="489" spans="1:2" x14ac:dyDescent="0.25">
      <c r="A489" t="s">
        <v>531</v>
      </c>
      <c r="B489">
        <v>0</v>
      </c>
    </row>
    <row r="490" spans="1:2" x14ac:dyDescent="0.25">
      <c r="A490" t="s">
        <v>532</v>
      </c>
      <c r="B490">
        <v>14.04</v>
      </c>
    </row>
    <row r="491" spans="1:2" x14ac:dyDescent="0.25">
      <c r="A491" t="s">
        <v>533</v>
      </c>
      <c r="B491">
        <v>0.1183</v>
      </c>
    </row>
    <row r="492" spans="1:2" x14ac:dyDescent="0.25">
      <c r="A492" t="s">
        <v>534</v>
      </c>
      <c r="B492">
        <v>39.729999999999997</v>
      </c>
    </row>
    <row r="493" spans="1:2" x14ac:dyDescent="0.25">
      <c r="A493" t="s">
        <v>535</v>
      </c>
      <c r="B493">
        <v>0</v>
      </c>
    </row>
    <row r="494" spans="1:2" x14ac:dyDescent="0.25">
      <c r="A494" t="s">
        <v>536</v>
      </c>
      <c r="B494">
        <v>0</v>
      </c>
    </row>
    <row r="495" spans="1:2" x14ac:dyDescent="0.25">
      <c r="A495" t="s">
        <v>537</v>
      </c>
      <c r="B495">
        <v>0.38300000000000001</v>
      </c>
    </row>
    <row r="496" spans="1:2" x14ac:dyDescent="0.25">
      <c r="A496" t="s">
        <v>538</v>
      </c>
      <c r="B496">
        <v>2.36</v>
      </c>
    </row>
    <row r="497" spans="1:2" x14ac:dyDescent="0.25">
      <c r="A497" t="s">
        <v>539</v>
      </c>
      <c r="B497">
        <v>0.22289999999999999</v>
      </c>
    </row>
    <row r="498" spans="1:2" x14ac:dyDescent="0.25">
      <c r="A498" t="s">
        <v>540</v>
      </c>
      <c r="B498">
        <v>3.4499999999999999E-3</v>
      </c>
    </row>
    <row r="499" spans="1:2" x14ac:dyDescent="0.25">
      <c r="A499" t="s">
        <v>541</v>
      </c>
      <c r="B499">
        <v>7.3399999999999995E-4</v>
      </c>
    </row>
    <row r="500" spans="1:2" x14ac:dyDescent="0.25">
      <c r="A500" t="s">
        <v>542</v>
      </c>
      <c r="B500">
        <v>6.6699999999999997E-6</v>
      </c>
    </row>
    <row r="501" spans="1:2" x14ac:dyDescent="0.25">
      <c r="A501" t="s">
        <v>543</v>
      </c>
      <c r="B501">
        <v>0.37940000000000002</v>
      </c>
    </row>
    <row r="502" spans="1:2" x14ac:dyDescent="0.25">
      <c r="A502" t="s">
        <v>544</v>
      </c>
      <c r="B502">
        <v>7.3899999999999999E-3</v>
      </c>
    </row>
    <row r="503" spans="1:2" x14ac:dyDescent="0.25">
      <c r="A503" t="s">
        <v>545</v>
      </c>
      <c r="B503">
        <v>6.8300000000000007E-5</v>
      </c>
    </row>
    <row r="504" spans="1:2" x14ac:dyDescent="0.25">
      <c r="A504" t="s">
        <v>546</v>
      </c>
      <c r="B504">
        <v>6.4139999999999997</v>
      </c>
    </row>
    <row r="505" spans="1:2" x14ac:dyDescent="0.25">
      <c r="A505" t="s">
        <v>547</v>
      </c>
      <c r="B505">
        <v>6.423</v>
      </c>
    </row>
    <row r="506" spans="1:2" x14ac:dyDescent="0.25">
      <c r="A506" t="s">
        <v>548</v>
      </c>
      <c r="B506">
        <v>0</v>
      </c>
    </row>
    <row r="507" spans="1:2" x14ac:dyDescent="0.25">
      <c r="A507" t="s">
        <v>549</v>
      </c>
      <c r="B507">
        <v>0</v>
      </c>
    </row>
    <row r="508" spans="1:2" x14ac:dyDescent="0.25">
      <c r="A508" t="s">
        <v>550</v>
      </c>
      <c r="B508">
        <v>0</v>
      </c>
    </row>
    <row r="509" spans="1:2" x14ac:dyDescent="0.25">
      <c r="A509" t="s">
        <v>551</v>
      </c>
      <c r="B509">
        <v>0</v>
      </c>
    </row>
    <row r="510" spans="1:2" x14ac:dyDescent="0.25">
      <c r="A510" t="s">
        <v>552</v>
      </c>
      <c r="B510">
        <v>0</v>
      </c>
    </row>
    <row r="511" spans="1:2" x14ac:dyDescent="0.25">
      <c r="A511" t="s">
        <v>553</v>
      </c>
      <c r="B511">
        <v>0</v>
      </c>
    </row>
    <row r="512" spans="1:2" x14ac:dyDescent="0.25">
      <c r="A512" t="s">
        <v>554</v>
      </c>
      <c r="B512">
        <v>0</v>
      </c>
    </row>
    <row r="513" spans="1:2" x14ac:dyDescent="0.25">
      <c r="A513" t="s">
        <v>555</v>
      </c>
      <c r="B513">
        <v>0</v>
      </c>
    </row>
    <row r="514" spans="1:2" x14ac:dyDescent="0.25">
      <c r="A514" t="s">
        <v>556</v>
      </c>
      <c r="B514">
        <v>0</v>
      </c>
    </row>
    <row r="515" spans="1:2" x14ac:dyDescent="0.25">
      <c r="A515" t="s">
        <v>557</v>
      </c>
      <c r="B515">
        <v>1.7560000000000001E-5</v>
      </c>
    </row>
    <row r="516" spans="1:2" x14ac:dyDescent="0.25">
      <c r="A516" t="s">
        <v>558</v>
      </c>
      <c r="B516">
        <v>0</v>
      </c>
    </row>
    <row r="517" spans="1:2" x14ac:dyDescent="0.25">
      <c r="A517" t="s">
        <v>559</v>
      </c>
      <c r="B517">
        <v>0</v>
      </c>
    </row>
    <row r="518" spans="1:2" x14ac:dyDescent="0.25">
      <c r="A518" t="s">
        <v>560</v>
      </c>
      <c r="B518">
        <v>0</v>
      </c>
    </row>
    <row r="519" spans="1:2" x14ac:dyDescent="0.25">
      <c r="A519" t="s">
        <v>561</v>
      </c>
      <c r="B519">
        <v>0</v>
      </c>
    </row>
    <row r="520" spans="1:2" x14ac:dyDescent="0.25">
      <c r="A520" t="s">
        <v>562</v>
      </c>
      <c r="B520">
        <v>6.8999999999999996E-7</v>
      </c>
    </row>
    <row r="521" spans="1:2" x14ac:dyDescent="0.25">
      <c r="A521" t="s">
        <v>563</v>
      </c>
      <c r="B521">
        <v>6.5460000000000004E-2</v>
      </c>
    </row>
    <row r="522" spans="1:2" x14ac:dyDescent="0.25">
      <c r="A522" t="s">
        <v>564</v>
      </c>
      <c r="B522">
        <v>0</v>
      </c>
    </row>
    <row r="523" spans="1:2" x14ac:dyDescent="0.25">
      <c r="A523" t="s">
        <v>565</v>
      </c>
      <c r="B523">
        <v>0</v>
      </c>
    </row>
    <row r="524" spans="1:2" x14ac:dyDescent="0.25">
      <c r="A524" t="s">
        <v>566</v>
      </c>
      <c r="B524">
        <v>0</v>
      </c>
    </row>
    <row r="525" spans="1:2" x14ac:dyDescent="0.25">
      <c r="A525" t="s">
        <v>567</v>
      </c>
      <c r="B525">
        <v>4.5370000000000001E-5</v>
      </c>
    </row>
    <row r="526" spans="1:2" x14ac:dyDescent="0.25">
      <c r="A526" t="s">
        <v>568</v>
      </c>
      <c r="B526">
        <v>2.9999999999999999E-7</v>
      </c>
    </row>
    <row r="527" spans="1:2" x14ac:dyDescent="0.25">
      <c r="A527" t="s">
        <v>569</v>
      </c>
      <c r="B527">
        <v>2.8039999999999999E-2</v>
      </c>
    </row>
    <row r="528" spans="1:2" x14ac:dyDescent="0.25">
      <c r="A528" t="s">
        <v>570</v>
      </c>
      <c r="B528">
        <v>0</v>
      </c>
    </row>
    <row r="529" spans="1:2" x14ac:dyDescent="0.25">
      <c r="A529" t="s">
        <v>571</v>
      </c>
      <c r="B529">
        <v>0</v>
      </c>
    </row>
    <row r="530" spans="1:2" x14ac:dyDescent="0.25">
      <c r="A530" t="s">
        <v>572</v>
      </c>
      <c r="B530">
        <v>0</v>
      </c>
    </row>
    <row r="531" spans="1:2" x14ac:dyDescent="0.25">
      <c r="A531" t="s">
        <v>573</v>
      </c>
      <c r="B531">
        <v>1.0499000000000001E-3</v>
      </c>
    </row>
    <row r="532" spans="1:2" x14ac:dyDescent="0.25">
      <c r="A532" t="s">
        <v>574</v>
      </c>
      <c r="B532">
        <v>7.8800000000000008E-6</v>
      </c>
    </row>
    <row r="533" spans="1:2" x14ac:dyDescent="0.25">
      <c r="A533" t="s">
        <v>575</v>
      </c>
      <c r="B533">
        <v>0.74029999999999996</v>
      </c>
    </row>
    <row r="534" spans="1:2" x14ac:dyDescent="0.25">
      <c r="A534" t="s">
        <v>576</v>
      </c>
      <c r="B534">
        <v>0</v>
      </c>
    </row>
    <row r="535" spans="1:2" x14ac:dyDescent="0.25">
      <c r="A535" t="s">
        <v>577</v>
      </c>
      <c r="B535">
        <v>0</v>
      </c>
    </row>
    <row r="536" spans="1:2" x14ac:dyDescent="0.25">
      <c r="A536" t="s">
        <v>578</v>
      </c>
      <c r="B536">
        <v>0.74</v>
      </c>
    </row>
    <row r="537" spans="1:2" x14ac:dyDescent="0.25">
      <c r="A537" t="s">
        <v>579</v>
      </c>
      <c r="B537">
        <v>0</v>
      </c>
    </row>
    <row r="538" spans="1:2" x14ac:dyDescent="0.25">
      <c r="A538" t="s">
        <v>580</v>
      </c>
      <c r="B538">
        <v>0</v>
      </c>
    </row>
    <row r="539" spans="1:2" x14ac:dyDescent="0.25">
      <c r="A539" t="s">
        <v>581</v>
      </c>
      <c r="B539">
        <v>0</v>
      </c>
    </row>
    <row r="540" spans="1:2" x14ac:dyDescent="0.25">
      <c r="A540" t="s">
        <v>582</v>
      </c>
      <c r="B540">
        <v>0</v>
      </c>
    </row>
    <row r="541" spans="1:2" x14ac:dyDescent="0.25">
      <c r="A541" t="s">
        <v>583</v>
      </c>
      <c r="B541">
        <v>5.8250000000000001E-4</v>
      </c>
    </row>
    <row r="542" spans="1:2" x14ac:dyDescent="0.25">
      <c r="A542" t="s">
        <v>584</v>
      </c>
      <c r="B542">
        <v>3.5200000000000002E-6</v>
      </c>
    </row>
    <row r="543" spans="1:2" x14ac:dyDescent="0.25">
      <c r="A543" t="s">
        <v>585</v>
      </c>
      <c r="B543">
        <v>0.33</v>
      </c>
    </row>
    <row r="544" spans="1:2" x14ac:dyDescent="0.25">
      <c r="A544" t="s">
        <v>586</v>
      </c>
      <c r="B544">
        <v>0</v>
      </c>
    </row>
    <row r="545" spans="1:2" x14ac:dyDescent="0.25">
      <c r="A545" t="s">
        <v>587</v>
      </c>
      <c r="B545">
        <v>0</v>
      </c>
    </row>
    <row r="546" spans="1:2" x14ac:dyDescent="0.25">
      <c r="A546" t="s">
        <v>588</v>
      </c>
      <c r="B546">
        <v>0.32979999999999998</v>
      </c>
    </row>
    <row r="547" spans="1:2" x14ac:dyDescent="0.25">
      <c r="A547" t="s">
        <v>589</v>
      </c>
      <c r="B547">
        <v>0</v>
      </c>
    </row>
    <row r="548" spans="1:2" x14ac:dyDescent="0.25">
      <c r="A548" t="s">
        <v>590</v>
      </c>
      <c r="B548">
        <v>0</v>
      </c>
    </row>
    <row r="549" spans="1:2" x14ac:dyDescent="0.25">
      <c r="A549" t="s">
        <v>591</v>
      </c>
      <c r="B549">
        <v>1.2330000000000001E-2</v>
      </c>
    </row>
    <row r="550" spans="1:2" x14ac:dyDescent="0.25">
      <c r="A550" t="s">
        <v>592</v>
      </c>
      <c r="B550">
        <v>0</v>
      </c>
    </row>
    <row r="551" spans="1:2" x14ac:dyDescent="0.25">
      <c r="A551" t="s">
        <v>593</v>
      </c>
      <c r="B551">
        <v>0</v>
      </c>
    </row>
    <row r="552" spans="1:2" x14ac:dyDescent="0.25">
      <c r="A552" t="s">
        <v>594</v>
      </c>
      <c r="B552">
        <v>0</v>
      </c>
    </row>
    <row r="553" spans="1:2" x14ac:dyDescent="0.25">
      <c r="A553" t="s">
        <v>595</v>
      </c>
      <c r="B553">
        <v>0</v>
      </c>
    </row>
    <row r="554" spans="1:2" x14ac:dyDescent="0.25">
      <c r="A554" t="s">
        <v>596</v>
      </c>
      <c r="B554">
        <v>0</v>
      </c>
    </row>
    <row r="555" spans="1:2" x14ac:dyDescent="0.25">
      <c r="A555" t="s">
        <v>597</v>
      </c>
      <c r="B555">
        <v>0</v>
      </c>
    </row>
    <row r="556" spans="1:2" x14ac:dyDescent="0.25">
      <c r="A556" t="s">
        <v>598</v>
      </c>
      <c r="B556">
        <v>0</v>
      </c>
    </row>
    <row r="557" spans="1:2" x14ac:dyDescent="0.25">
      <c r="A557" t="s">
        <v>599</v>
      </c>
      <c r="B557">
        <v>0</v>
      </c>
    </row>
    <row r="558" spans="1:2" x14ac:dyDescent="0.25">
      <c r="A558" t="s">
        <v>600</v>
      </c>
      <c r="B558">
        <v>0</v>
      </c>
    </row>
    <row r="559" spans="1:2" x14ac:dyDescent="0.25">
      <c r="A559" t="s">
        <v>601</v>
      </c>
      <c r="B559">
        <v>3.3799999999999998E-6</v>
      </c>
    </row>
    <row r="560" spans="1:2" x14ac:dyDescent="0.25">
      <c r="A560" t="s">
        <v>602</v>
      </c>
      <c r="B560">
        <v>0.31769999999999998</v>
      </c>
    </row>
    <row r="561" spans="1:2" x14ac:dyDescent="0.25">
      <c r="A561" t="s">
        <v>603</v>
      </c>
      <c r="B561">
        <v>0</v>
      </c>
    </row>
    <row r="562" spans="1:2" x14ac:dyDescent="0.25">
      <c r="A562" t="s">
        <v>604</v>
      </c>
      <c r="B562">
        <v>0.31706000000000001</v>
      </c>
    </row>
    <row r="563" spans="1:2" x14ac:dyDescent="0.25">
      <c r="A563" t="s">
        <v>605</v>
      </c>
      <c r="B563">
        <v>0</v>
      </c>
    </row>
    <row r="564" spans="1:2" x14ac:dyDescent="0.25">
      <c r="A564" t="s">
        <v>606</v>
      </c>
      <c r="B564">
        <v>2.5399999999999998E-6</v>
      </c>
    </row>
    <row r="565" spans="1:2" x14ac:dyDescent="0.25">
      <c r="A565" t="s">
        <v>607</v>
      </c>
      <c r="B565">
        <v>0.2384</v>
      </c>
    </row>
    <row r="566" spans="1:2" x14ac:dyDescent="0.25">
      <c r="A566" t="s">
        <v>608</v>
      </c>
      <c r="B566">
        <v>0</v>
      </c>
    </row>
    <row r="567" spans="1:2" x14ac:dyDescent="0.25">
      <c r="A567" t="s">
        <v>609</v>
      </c>
      <c r="B567">
        <v>0</v>
      </c>
    </row>
    <row r="568" spans="1:2" x14ac:dyDescent="0.25">
      <c r="A568" t="s">
        <v>610</v>
      </c>
      <c r="B568">
        <v>0</v>
      </c>
    </row>
    <row r="569" spans="1:2" x14ac:dyDescent="0.25">
      <c r="A569" t="s">
        <v>611</v>
      </c>
      <c r="B569">
        <v>8.5599999999999994E-5</v>
      </c>
    </row>
    <row r="570" spans="1:2" x14ac:dyDescent="0.25">
      <c r="A570" t="s">
        <v>612</v>
      </c>
      <c r="B570">
        <v>3.8000000000000001E-7</v>
      </c>
    </row>
    <row r="571" spans="1:2" x14ac:dyDescent="0.25">
      <c r="A571" t="s">
        <v>613</v>
      </c>
      <c r="B571">
        <v>3.5310000000000001E-2</v>
      </c>
    </row>
    <row r="572" spans="1:2" x14ac:dyDescent="0.25">
      <c r="A572" t="s">
        <v>614</v>
      </c>
      <c r="B572">
        <v>0</v>
      </c>
    </row>
    <row r="573" spans="1:2" x14ac:dyDescent="0.25">
      <c r="A573" t="s">
        <v>615</v>
      </c>
      <c r="B573">
        <v>0</v>
      </c>
    </row>
    <row r="574" spans="1:2" x14ac:dyDescent="0.25">
      <c r="A574" t="s">
        <v>616</v>
      </c>
      <c r="B574">
        <v>0</v>
      </c>
    </row>
    <row r="575" spans="1:2" x14ac:dyDescent="0.25">
      <c r="A575" t="s">
        <v>617</v>
      </c>
      <c r="B575">
        <v>0</v>
      </c>
    </row>
    <row r="576" spans="1:2" x14ac:dyDescent="0.25">
      <c r="A576" t="s">
        <v>618</v>
      </c>
      <c r="B576">
        <v>0.23930000000000001</v>
      </c>
    </row>
    <row r="577" spans="1:2" x14ac:dyDescent="0.25">
      <c r="A577" t="s">
        <v>619</v>
      </c>
      <c r="B577">
        <v>1.4000000000000001E-7</v>
      </c>
    </row>
    <row r="578" spans="1:2" x14ac:dyDescent="0.25">
      <c r="A578" t="s">
        <v>620</v>
      </c>
      <c r="B578">
        <v>0</v>
      </c>
    </row>
    <row r="579" spans="1:2" x14ac:dyDescent="0.25">
      <c r="A579" t="s">
        <v>621</v>
      </c>
      <c r="B579">
        <v>1.0484000000000001E-4</v>
      </c>
    </row>
    <row r="580" spans="1:2" x14ac:dyDescent="0.25">
      <c r="A580" t="s">
        <v>622</v>
      </c>
      <c r="B580">
        <v>9.7299999999999993E-5</v>
      </c>
    </row>
    <row r="581" spans="1:2" x14ac:dyDescent="0.25">
      <c r="A581" t="s">
        <v>623</v>
      </c>
      <c r="B581">
        <v>2.6780000000000001E-5</v>
      </c>
    </row>
    <row r="582" spans="1:2" x14ac:dyDescent="0.25">
      <c r="A582" t="s">
        <v>624</v>
      </c>
      <c r="B582">
        <v>8.0000000000000002E-8</v>
      </c>
    </row>
    <row r="583" spans="1:2" x14ac:dyDescent="0.25">
      <c r="A583" t="s">
        <v>625</v>
      </c>
      <c r="B583">
        <v>7.6709999999999999E-3</v>
      </c>
    </row>
    <row r="584" spans="1:2" x14ac:dyDescent="0.25">
      <c r="A584" t="s">
        <v>626</v>
      </c>
      <c r="B584">
        <v>0</v>
      </c>
    </row>
    <row r="585" spans="1:2" x14ac:dyDescent="0.25">
      <c r="A585" t="s">
        <v>627</v>
      </c>
      <c r="B585">
        <v>0</v>
      </c>
    </row>
    <row r="586" spans="1:2" x14ac:dyDescent="0.25">
      <c r="A586" t="s">
        <v>628</v>
      </c>
      <c r="B586">
        <v>0</v>
      </c>
    </row>
    <row r="587" spans="1:2" x14ac:dyDescent="0.25">
      <c r="A587" t="s">
        <v>629</v>
      </c>
      <c r="B587">
        <v>5.5900000000000004E-3</v>
      </c>
    </row>
    <row r="588" spans="1:2" x14ac:dyDescent="0.25">
      <c r="A588" t="s">
        <v>630</v>
      </c>
      <c r="B588">
        <v>0</v>
      </c>
    </row>
    <row r="589" spans="1:2" x14ac:dyDescent="0.25">
      <c r="A589" t="s">
        <v>631</v>
      </c>
      <c r="B589">
        <v>1.7545999999999999</v>
      </c>
    </row>
    <row r="590" spans="1:2" x14ac:dyDescent="0.25">
      <c r="A590" t="s">
        <v>632</v>
      </c>
      <c r="B590">
        <v>1.1599999999999999</v>
      </c>
    </row>
    <row r="591" spans="1:2" x14ac:dyDescent="0.25">
      <c r="A591" t="s">
        <v>633</v>
      </c>
      <c r="B591">
        <v>0</v>
      </c>
    </row>
    <row r="592" spans="1:2" x14ac:dyDescent="0.25">
      <c r="A592" t="s">
        <v>634</v>
      </c>
      <c r="B592">
        <v>3.6990000000000003E-5</v>
      </c>
    </row>
    <row r="593" spans="1:2" x14ac:dyDescent="0.25">
      <c r="A593" t="s">
        <v>635</v>
      </c>
      <c r="B593">
        <v>1.3818999999999999</v>
      </c>
    </row>
    <row r="594" spans="1:2" x14ac:dyDescent="0.25">
      <c r="A594" t="s">
        <v>636</v>
      </c>
      <c r="B594">
        <v>0</v>
      </c>
    </row>
    <row r="595" spans="1:2" x14ac:dyDescent="0.25">
      <c r="A595" t="s">
        <v>637</v>
      </c>
      <c r="B595">
        <v>0</v>
      </c>
    </row>
    <row r="596" spans="1:2" x14ac:dyDescent="0.25">
      <c r="A596" t="s">
        <v>638</v>
      </c>
      <c r="B596">
        <v>1.13E-6</v>
      </c>
    </row>
    <row r="597" spans="1:2" x14ac:dyDescent="0.25">
      <c r="A597" t="s">
        <v>639</v>
      </c>
      <c r="B597">
        <v>0</v>
      </c>
    </row>
    <row r="598" spans="1:2" x14ac:dyDescent="0.25">
      <c r="A598" t="s">
        <v>640</v>
      </c>
      <c r="B598">
        <v>4.5999999999999999E-3</v>
      </c>
    </row>
    <row r="599" spans="1:2" x14ac:dyDescent="0.25">
      <c r="A599" t="s">
        <v>641</v>
      </c>
      <c r="B599">
        <v>1.2650000000000001E-3</v>
      </c>
    </row>
    <row r="600" spans="1:2" x14ac:dyDescent="0.25">
      <c r="A600" t="s">
        <v>642</v>
      </c>
      <c r="B600">
        <v>5.254E-3</v>
      </c>
    </row>
    <row r="601" spans="1:2" x14ac:dyDescent="0.25">
      <c r="A601" t="s">
        <v>643</v>
      </c>
      <c r="B601">
        <v>1.253E-3</v>
      </c>
    </row>
    <row r="602" spans="1:2" x14ac:dyDescent="0.25">
      <c r="A602" t="s">
        <v>644</v>
      </c>
      <c r="B602">
        <v>0</v>
      </c>
    </row>
    <row r="603" spans="1:2" x14ac:dyDescent="0.25">
      <c r="A603" t="s">
        <v>645</v>
      </c>
      <c r="B603">
        <v>3.8999999999999998E-3</v>
      </c>
    </row>
    <row r="604" spans="1:2" x14ac:dyDescent="0.25">
      <c r="A604" t="s">
        <v>646</v>
      </c>
      <c r="B604">
        <v>0.2278</v>
      </c>
    </row>
    <row r="605" spans="1:2" x14ac:dyDescent="0.25">
      <c r="A605" t="s">
        <v>647</v>
      </c>
      <c r="B605">
        <v>4.7739999999999996E-3</v>
      </c>
    </row>
    <row r="606" spans="1:2" x14ac:dyDescent="0.25">
      <c r="A606" t="s">
        <v>648</v>
      </c>
      <c r="B606">
        <v>0.1928</v>
      </c>
    </row>
    <row r="607" spans="1:2" x14ac:dyDescent="0.25">
      <c r="A607" t="s">
        <v>649</v>
      </c>
      <c r="B607">
        <v>0</v>
      </c>
    </row>
    <row r="608" spans="1:2" x14ac:dyDescent="0.25">
      <c r="A608" t="s">
        <v>650</v>
      </c>
      <c r="B608">
        <v>4.1209999999999999E-4</v>
      </c>
    </row>
    <row r="609" spans="1:2" x14ac:dyDescent="0.25">
      <c r="A609" t="s">
        <v>651</v>
      </c>
      <c r="B609">
        <v>1.208E-4</v>
      </c>
    </row>
    <row r="610" spans="1:2" x14ac:dyDescent="0.25">
      <c r="A610" t="s">
        <v>652</v>
      </c>
      <c r="B610">
        <v>9.0999999999999997E-7</v>
      </c>
    </row>
    <row r="611" spans="1:2" x14ac:dyDescent="0.25">
      <c r="A611" t="s">
        <v>653</v>
      </c>
      <c r="B611">
        <v>8.5099999999999995E-2</v>
      </c>
    </row>
    <row r="612" spans="1:2" x14ac:dyDescent="0.25">
      <c r="A612" t="s">
        <v>654</v>
      </c>
      <c r="B612">
        <v>0</v>
      </c>
    </row>
    <row r="613" spans="1:2" x14ac:dyDescent="0.25">
      <c r="A613" t="s">
        <v>655</v>
      </c>
      <c r="B613">
        <v>1.5719999999999999E-5</v>
      </c>
    </row>
    <row r="614" spans="1:2" x14ac:dyDescent="0.25">
      <c r="A614" t="s">
        <v>656</v>
      </c>
      <c r="B614">
        <v>1.4770000000000001</v>
      </c>
    </row>
    <row r="615" spans="1:2" x14ac:dyDescent="0.25">
      <c r="A615" t="s">
        <v>657</v>
      </c>
      <c r="B615">
        <v>251.8</v>
      </c>
    </row>
    <row r="616" spans="1:2" x14ac:dyDescent="0.25">
      <c r="A616" t="s">
        <v>658</v>
      </c>
      <c r="B616">
        <v>42769.4</v>
      </c>
    </row>
    <row r="617" spans="1:2" x14ac:dyDescent="0.25">
      <c r="A617" t="s">
        <v>659</v>
      </c>
      <c r="B617">
        <v>1.0003</v>
      </c>
    </row>
    <row r="618" spans="1:2" x14ac:dyDescent="0.25">
      <c r="A618" t="s">
        <v>660</v>
      </c>
      <c r="B618">
        <v>0</v>
      </c>
    </row>
    <row r="619" spans="1:2" x14ac:dyDescent="0.25">
      <c r="A619" t="s">
        <v>661</v>
      </c>
      <c r="B619">
        <v>7.1600000000000001E-6</v>
      </c>
    </row>
    <row r="620" spans="1:2" x14ac:dyDescent="0.25">
      <c r="A620" t="s">
        <v>662</v>
      </c>
      <c r="B620">
        <v>6.5199999999999994E-2</v>
      </c>
    </row>
    <row r="621" spans="1:2" x14ac:dyDescent="0.25">
      <c r="A621" t="s">
        <v>663</v>
      </c>
      <c r="B621">
        <v>2.8830000000000001E-3</v>
      </c>
    </row>
    <row r="622" spans="1:2" x14ac:dyDescent="0.25">
      <c r="A622" t="s">
        <v>664</v>
      </c>
      <c r="B622">
        <v>1.4419999999999999E-5</v>
      </c>
    </row>
    <row r="623" spans="1:2" x14ac:dyDescent="0.25">
      <c r="A623" t="s">
        <v>665</v>
      </c>
      <c r="B623">
        <v>1.3540000000000001</v>
      </c>
    </row>
    <row r="624" spans="1:2" x14ac:dyDescent="0.25">
      <c r="A624" t="s">
        <v>666</v>
      </c>
      <c r="B624">
        <v>4.274E-2</v>
      </c>
    </row>
    <row r="625" spans="1:2" x14ac:dyDescent="0.25">
      <c r="A625" t="s">
        <v>667</v>
      </c>
      <c r="B625">
        <v>2.0789999999999999E-2</v>
      </c>
    </row>
    <row r="626" spans="1:2" x14ac:dyDescent="0.25">
      <c r="A626" t="s">
        <v>668</v>
      </c>
      <c r="B626">
        <v>0</v>
      </c>
    </row>
    <row r="627" spans="1:2" x14ac:dyDescent="0.25">
      <c r="A627" t="s">
        <v>669</v>
      </c>
      <c r="B627">
        <v>3.9746999999999997E-4</v>
      </c>
    </row>
    <row r="628" spans="1:2" x14ac:dyDescent="0.25">
      <c r="A628" t="s">
        <v>670</v>
      </c>
      <c r="B628">
        <v>2.9900000000000002E-6</v>
      </c>
    </row>
    <row r="629" spans="1:2" x14ac:dyDescent="0.25">
      <c r="A629" t="s">
        <v>671</v>
      </c>
      <c r="B629">
        <v>0.28111000000000003</v>
      </c>
    </row>
    <row r="630" spans="1:2" x14ac:dyDescent="0.25">
      <c r="A630" t="s">
        <v>672</v>
      </c>
      <c r="B630">
        <v>0</v>
      </c>
    </row>
    <row r="631" spans="1:2" x14ac:dyDescent="0.25">
      <c r="A631" t="s">
        <v>673</v>
      </c>
      <c r="B631">
        <v>1.0699999999999999E-6</v>
      </c>
    </row>
    <row r="632" spans="1:2" x14ac:dyDescent="0.25">
      <c r="A632" t="s">
        <v>674</v>
      </c>
      <c r="B632">
        <v>0.10009999999999999</v>
      </c>
    </row>
    <row r="633" spans="1:2" x14ac:dyDescent="0.25">
      <c r="A633" t="s">
        <v>675</v>
      </c>
      <c r="B633">
        <v>0.63449999999999995</v>
      </c>
    </row>
    <row r="634" spans="1:2" x14ac:dyDescent="0.25">
      <c r="A634" t="s">
        <v>676</v>
      </c>
      <c r="B634">
        <v>2281.12</v>
      </c>
    </row>
    <row r="635" spans="1:2" x14ac:dyDescent="0.25">
      <c r="A635" t="s">
        <v>677</v>
      </c>
      <c r="B635">
        <v>0</v>
      </c>
    </row>
    <row r="636" spans="1:2" x14ac:dyDescent="0.25">
      <c r="A636" t="s">
        <v>678</v>
      </c>
      <c r="B636">
        <v>72.37</v>
      </c>
    </row>
    <row r="637" spans="1:2" x14ac:dyDescent="0.25">
      <c r="A637" t="s">
        <v>679</v>
      </c>
      <c r="B637">
        <v>14.071</v>
      </c>
    </row>
    <row r="638" spans="1:2" x14ac:dyDescent="0.25">
      <c r="A638" t="s">
        <v>680</v>
      </c>
      <c r="B638">
        <v>19.03</v>
      </c>
    </row>
    <row r="639" spans="1:2" x14ac:dyDescent="0.25">
      <c r="A639" t="s">
        <v>681</v>
      </c>
      <c r="B639">
        <v>2.1779999999999998E-3</v>
      </c>
    </row>
    <row r="640" spans="1:2" x14ac:dyDescent="0.25">
      <c r="A640" t="s">
        <v>682</v>
      </c>
      <c r="B640">
        <v>1.63E-5</v>
      </c>
    </row>
    <row r="641" spans="1:2" x14ac:dyDescent="0.25">
      <c r="A641" t="s">
        <v>683</v>
      </c>
      <c r="B641">
        <v>1.5309999999999999</v>
      </c>
    </row>
    <row r="642" spans="1:2" x14ac:dyDescent="0.25">
      <c r="A642" t="s">
        <v>684</v>
      </c>
      <c r="B642">
        <v>2.7599999999999999E-3</v>
      </c>
    </row>
    <row r="643" spans="1:2" x14ac:dyDescent="0.25">
      <c r="A643" t="s">
        <v>685</v>
      </c>
      <c r="B643">
        <v>4.9799999999999998E-6</v>
      </c>
    </row>
    <row r="644" spans="1:2" x14ac:dyDescent="0.25">
      <c r="A644" t="s">
        <v>686</v>
      </c>
      <c r="B644">
        <v>0.47020000000000001</v>
      </c>
    </row>
    <row r="645" spans="1:2" x14ac:dyDescent="0.25">
      <c r="A645" t="s">
        <v>687</v>
      </c>
      <c r="B645">
        <v>0</v>
      </c>
    </row>
    <row r="646" spans="1:2" x14ac:dyDescent="0.25">
      <c r="A646" t="s">
        <v>688</v>
      </c>
      <c r="B646">
        <v>0</v>
      </c>
    </row>
    <row r="647" spans="1:2" x14ac:dyDescent="0.25">
      <c r="A647" t="s">
        <v>689</v>
      </c>
      <c r="B647">
        <v>99822596</v>
      </c>
    </row>
    <row r="648" spans="1:2" x14ac:dyDescent="0.25">
      <c r="A648" t="s">
        <v>690</v>
      </c>
      <c r="B648">
        <v>1.5469999999999999E-4</v>
      </c>
    </row>
    <row r="649" spans="1:2" x14ac:dyDescent="0.25">
      <c r="A649" t="s">
        <v>691</v>
      </c>
      <c r="B649">
        <v>5.4000000000000002E-7</v>
      </c>
    </row>
    <row r="650" spans="1:2" x14ac:dyDescent="0.25">
      <c r="A650" t="s">
        <v>692</v>
      </c>
      <c r="B650">
        <v>5.0389999999999997E-2</v>
      </c>
    </row>
    <row r="651" spans="1:2" x14ac:dyDescent="0.25">
      <c r="A651" t="s">
        <v>693</v>
      </c>
      <c r="B651">
        <v>0.10329000000000001</v>
      </c>
    </row>
    <row r="652" spans="1:2" x14ac:dyDescent="0.25">
      <c r="A652" t="s">
        <v>694</v>
      </c>
      <c r="B652">
        <v>0.63400000000000001</v>
      </c>
    </row>
    <row r="653" spans="1:2" x14ac:dyDescent="0.25">
      <c r="A653" t="s">
        <v>695</v>
      </c>
      <c r="B653">
        <v>3.8539999999999998E-2</v>
      </c>
    </row>
    <row r="654" spans="1:2" x14ac:dyDescent="0.25">
      <c r="A654" t="s">
        <v>696</v>
      </c>
      <c r="B654">
        <v>2.2989999999999999</v>
      </c>
    </row>
    <row r="655" spans="1:2" x14ac:dyDescent="0.25">
      <c r="A655" t="s">
        <v>697</v>
      </c>
      <c r="B655">
        <v>0</v>
      </c>
    </row>
    <row r="656" spans="1:2" x14ac:dyDescent="0.25">
      <c r="A656" t="s">
        <v>698</v>
      </c>
      <c r="B656">
        <v>0.1197</v>
      </c>
    </row>
    <row r="657" spans="1:2" x14ac:dyDescent="0.25">
      <c r="A657" t="s">
        <v>699</v>
      </c>
      <c r="B657">
        <v>0.63739999999999997</v>
      </c>
    </row>
    <row r="658" spans="1:2" x14ac:dyDescent="0.25">
      <c r="A658" t="s">
        <v>700</v>
      </c>
      <c r="B658">
        <v>0</v>
      </c>
    </row>
    <row r="659" spans="1:2" x14ac:dyDescent="0.25">
      <c r="A659" t="s">
        <v>701</v>
      </c>
      <c r="B659">
        <v>2.7800000000000001E-6</v>
      </c>
    </row>
    <row r="660" spans="1:2" x14ac:dyDescent="0.25">
      <c r="A660" t="s">
        <v>702</v>
      </c>
      <c r="B660">
        <v>0.26079999999999998</v>
      </c>
    </row>
    <row r="661" spans="1:2" x14ac:dyDescent="0.25">
      <c r="A661" t="s">
        <v>703</v>
      </c>
      <c r="B661">
        <v>0.63300000000000001</v>
      </c>
    </row>
    <row r="662" spans="1:2" x14ac:dyDescent="0.25">
      <c r="A662" t="s">
        <v>704</v>
      </c>
      <c r="B662">
        <v>4.7650000000000001E-3</v>
      </c>
    </row>
    <row r="663" spans="1:2" x14ac:dyDescent="0.25">
      <c r="A663" t="s">
        <v>705</v>
      </c>
      <c r="B663">
        <v>447.7</v>
      </c>
    </row>
    <row r="664" spans="1:2" x14ac:dyDescent="0.25">
      <c r="A664" t="s">
        <v>706</v>
      </c>
      <c r="B664">
        <v>447.1</v>
      </c>
    </row>
    <row r="665" spans="1:2" x14ac:dyDescent="0.25">
      <c r="A665" t="s">
        <v>707</v>
      </c>
      <c r="B665">
        <v>322</v>
      </c>
    </row>
    <row r="666" spans="1:2" x14ac:dyDescent="0.25">
      <c r="A666" t="s">
        <v>708</v>
      </c>
      <c r="B666">
        <v>0</v>
      </c>
    </row>
    <row r="667" spans="1:2" x14ac:dyDescent="0.25">
      <c r="A667" t="s">
        <v>709</v>
      </c>
      <c r="B667">
        <v>236</v>
      </c>
    </row>
    <row r="668" spans="1:2" x14ac:dyDescent="0.25">
      <c r="A668" t="s">
        <v>710</v>
      </c>
      <c r="B668">
        <v>3900027</v>
      </c>
    </row>
    <row r="669" spans="1:2" x14ac:dyDescent="0.25">
      <c r="A669" t="s">
        <v>711</v>
      </c>
      <c r="B669">
        <v>181477.6</v>
      </c>
    </row>
    <row r="670" spans="1:2" x14ac:dyDescent="0.25">
      <c r="A670" t="s">
        <v>712</v>
      </c>
      <c r="B670">
        <v>56.31</v>
      </c>
    </row>
    <row r="671" spans="1:2" x14ac:dyDescent="0.25">
      <c r="A671" t="s">
        <v>713</v>
      </c>
      <c r="B671">
        <v>22422.22</v>
      </c>
    </row>
    <row r="672" spans="1:2" x14ac:dyDescent="0.25">
      <c r="A672" t="s">
        <v>714</v>
      </c>
      <c r="B672">
        <v>1.06E-5</v>
      </c>
    </row>
    <row r="673" spans="1:2" x14ac:dyDescent="0.25">
      <c r="A673" t="s">
        <v>715</v>
      </c>
      <c r="B673">
        <v>0</v>
      </c>
    </row>
    <row r="674" spans="1:2" x14ac:dyDescent="0.25">
      <c r="A674" t="s">
        <v>716</v>
      </c>
      <c r="B674">
        <v>5.0569999999999999E-3</v>
      </c>
    </row>
    <row r="675" spans="1:2" x14ac:dyDescent="0.25">
      <c r="A675" t="s">
        <v>717</v>
      </c>
      <c r="B675">
        <v>90.39</v>
      </c>
    </row>
    <row r="676" spans="1:2" x14ac:dyDescent="0.25">
      <c r="A676" t="s">
        <v>718</v>
      </c>
      <c r="B676">
        <v>2.5369999999999999</v>
      </c>
    </row>
    <row r="677" spans="1:2" x14ac:dyDescent="0.25">
      <c r="A677" t="s">
        <v>719</v>
      </c>
      <c r="B677">
        <v>2.12E-2</v>
      </c>
    </row>
    <row r="678" spans="1:2" x14ac:dyDescent="0.25">
      <c r="A678" t="s">
        <v>720</v>
      </c>
      <c r="B678">
        <v>0</v>
      </c>
    </row>
    <row r="679" spans="1:2" x14ac:dyDescent="0.25">
      <c r="A679" t="s">
        <v>721</v>
      </c>
      <c r="B679">
        <v>1.4000000000000001E-7</v>
      </c>
    </row>
    <row r="680" spans="1:2" x14ac:dyDescent="0.25">
      <c r="A680" t="s">
        <v>722</v>
      </c>
      <c r="B680">
        <v>1.329E-2</v>
      </c>
    </row>
    <row r="681" spans="1:2" x14ac:dyDescent="0.25">
      <c r="A681" t="s">
        <v>723</v>
      </c>
      <c r="B681">
        <v>5.13E-3</v>
      </c>
    </row>
    <row r="682" spans="1:2" x14ac:dyDescent="0.25">
      <c r="A682" t="s">
        <v>724</v>
      </c>
      <c r="B682">
        <v>8.5599999999999994E-5</v>
      </c>
    </row>
    <row r="683" spans="1:2" x14ac:dyDescent="0.25">
      <c r="A683" t="s">
        <v>725</v>
      </c>
      <c r="B683">
        <v>3.5081000000000002</v>
      </c>
    </row>
    <row r="684" spans="1:2" x14ac:dyDescent="0.25">
      <c r="A684" t="s">
        <v>726</v>
      </c>
      <c r="B684">
        <v>3321743</v>
      </c>
    </row>
    <row r="685" spans="1:2" x14ac:dyDescent="0.25">
      <c r="A685" t="s">
        <v>727</v>
      </c>
      <c r="B685">
        <v>24997</v>
      </c>
    </row>
    <row r="686" spans="1:2" x14ac:dyDescent="0.25">
      <c r="A686" t="s">
        <v>728</v>
      </c>
      <c r="B686">
        <v>29.33</v>
      </c>
    </row>
    <row r="687" spans="1:2" x14ac:dyDescent="0.25">
      <c r="A687" t="s">
        <v>729</v>
      </c>
      <c r="B687">
        <v>119982</v>
      </c>
    </row>
    <row r="688" spans="1:2" x14ac:dyDescent="0.25">
      <c r="A688" t="s">
        <v>730</v>
      </c>
      <c r="B688">
        <v>73.900000000000006</v>
      </c>
    </row>
    <row r="689" spans="1:2" x14ac:dyDescent="0.25">
      <c r="A689" t="s">
        <v>731</v>
      </c>
      <c r="B689">
        <v>35.340000000000003</v>
      </c>
    </row>
    <row r="690" spans="1:2" x14ac:dyDescent="0.25">
      <c r="A690" t="s">
        <v>732</v>
      </c>
      <c r="B690">
        <v>91.1</v>
      </c>
    </row>
    <row r="691" spans="1:2" x14ac:dyDescent="0.25">
      <c r="A691" t="s">
        <v>733</v>
      </c>
      <c r="B691">
        <v>90266.13</v>
      </c>
    </row>
    <row r="692" spans="1:2" x14ac:dyDescent="0.25">
      <c r="A692" t="s">
        <v>734</v>
      </c>
      <c r="B692">
        <v>3259.52</v>
      </c>
    </row>
    <row r="693" spans="1:2" x14ac:dyDescent="0.25">
      <c r="A693" t="s">
        <v>735</v>
      </c>
      <c r="B693">
        <v>679.63</v>
      </c>
    </row>
    <row r="694" spans="1:2" x14ac:dyDescent="0.25">
      <c r="A694" t="s">
        <v>736</v>
      </c>
      <c r="B694">
        <v>2.0063</v>
      </c>
    </row>
    <row r="695" spans="1:2" x14ac:dyDescent="0.25">
      <c r="A695" t="s">
        <v>737</v>
      </c>
      <c r="B695">
        <v>1.0757000000000001</v>
      </c>
    </row>
    <row r="696" spans="1:2" x14ac:dyDescent="0.25">
      <c r="A696" t="s">
        <v>738</v>
      </c>
      <c r="B696">
        <v>1.0411999999999999</v>
      </c>
    </row>
    <row r="697" spans="1:2" x14ac:dyDescent="0.25">
      <c r="A697" t="s">
        <v>739</v>
      </c>
      <c r="B697">
        <v>3.8299999999999999E-4</v>
      </c>
    </row>
    <row r="698" spans="1:2" x14ac:dyDescent="0.25">
      <c r="A698" t="s">
        <v>740</v>
      </c>
      <c r="B698">
        <v>1.3200000000000001E-6</v>
      </c>
    </row>
    <row r="699" spans="1:2" x14ac:dyDescent="0.25">
      <c r="A699" t="s">
        <v>741</v>
      </c>
      <c r="B699">
        <v>0.124</v>
      </c>
    </row>
    <row r="700" spans="1:2" x14ac:dyDescent="0.25">
      <c r="A700" t="s">
        <v>742</v>
      </c>
      <c r="B700">
        <v>0</v>
      </c>
    </row>
    <row r="701" spans="1:2" x14ac:dyDescent="0.25">
      <c r="A701" t="s">
        <v>743</v>
      </c>
      <c r="B701">
        <v>3.9000000000000002E-7</v>
      </c>
    </row>
    <row r="702" spans="1:2" x14ac:dyDescent="0.25">
      <c r="A702" t="s">
        <v>744</v>
      </c>
      <c r="B702">
        <v>2.5600000000000001E-2</v>
      </c>
    </row>
    <row r="703" spans="1:2" x14ac:dyDescent="0.25">
      <c r="A703" t="s">
        <v>745</v>
      </c>
      <c r="B703">
        <v>0</v>
      </c>
    </row>
    <row r="704" spans="1:2" x14ac:dyDescent="0.25">
      <c r="A704" t="s">
        <v>746</v>
      </c>
      <c r="B704">
        <v>0</v>
      </c>
    </row>
    <row r="705" spans="1:2" x14ac:dyDescent="0.25">
      <c r="A705" t="s">
        <v>747</v>
      </c>
      <c r="B705">
        <v>0</v>
      </c>
    </row>
    <row r="706" spans="1:2" x14ac:dyDescent="0.25">
      <c r="A706" t="s">
        <v>748</v>
      </c>
      <c r="B706">
        <v>0</v>
      </c>
    </row>
    <row r="707" spans="1:2" x14ac:dyDescent="0.25">
      <c r="A707" t="s">
        <v>749</v>
      </c>
      <c r="B707">
        <v>0</v>
      </c>
    </row>
    <row r="708" spans="1:2" x14ac:dyDescent="0.25">
      <c r="A708" t="s">
        <v>750</v>
      </c>
      <c r="B708">
        <v>0</v>
      </c>
    </row>
    <row r="709" spans="1:2" x14ac:dyDescent="0.25">
      <c r="A709" t="s">
        <v>751</v>
      </c>
      <c r="B709">
        <v>0</v>
      </c>
    </row>
    <row r="710" spans="1:2" x14ac:dyDescent="0.25">
      <c r="A710" t="s">
        <v>752</v>
      </c>
      <c r="B710">
        <v>0</v>
      </c>
    </row>
    <row r="711" spans="1:2" x14ac:dyDescent="0.25">
      <c r="A711" t="s">
        <v>753</v>
      </c>
      <c r="B711">
        <v>0</v>
      </c>
    </row>
    <row r="712" spans="1:2" x14ac:dyDescent="0.25">
      <c r="A712" t="s">
        <v>754</v>
      </c>
      <c r="B712">
        <v>1.6E-7</v>
      </c>
    </row>
    <row r="713" spans="1:2" x14ac:dyDescent="0.25">
      <c r="A713" t="s">
        <v>755</v>
      </c>
      <c r="B713">
        <v>3.1199999999999999E-3</v>
      </c>
    </row>
    <row r="714" spans="1:2" x14ac:dyDescent="0.25">
      <c r="A714" t="s">
        <v>756</v>
      </c>
      <c r="B714">
        <v>3.9800000000000002E-4</v>
      </c>
    </row>
    <row r="715" spans="1:2" x14ac:dyDescent="0.25">
      <c r="A715" t="s">
        <v>757</v>
      </c>
      <c r="B715">
        <v>4.5499999999999996E-6</v>
      </c>
    </row>
    <row r="716" spans="1:2" x14ac:dyDescent="0.25">
      <c r="A716" t="s">
        <v>758</v>
      </c>
      <c r="B716">
        <v>1.7299999999999999E-2</v>
      </c>
    </row>
    <row r="717" spans="1:2" x14ac:dyDescent="0.25">
      <c r="A717" t="s">
        <v>759</v>
      </c>
      <c r="B717">
        <v>0.16420000000000001</v>
      </c>
    </row>
    <row r="718" spans="1:2" x14ac:dyDescent="0.25">
      <c r="A718" t="s">
        <v>760</v>
      </c>
      <c r="B718">
        <v>5.4000000000000003E-3</v>
      </c>
    </row>
    <row r="719" spans="1:2" x14ac:dyDescent="0.25">
      <c r="A719" t="s">
        <v>761</v>
      </c>
      <c r="B719">
        <v>0</v>
      </c>
    </row>
    <row r="720" spans="1:2" x14ac:dyDescent="0.25">
      <c r="A720" t="s">
        <v>762</v>
      </c>
      <c r="B720">
        <v>0.95599999999999996</v>
      </c>
    </row>
    <row r="721" spans="1:2" x14ac:dyDescent="0.25">
      <c r="A721" t="s">
        <v>763</v>
      </c>
      <c r="B721">
        <v>0.68630000000000002</v>
      </c>
    </row>
    <row r="722" spans="1:2" x14ac:dyDescent="0.25">
      <c r="A722" t="s">
        <v>764</v>
      </c>
      <c r="B722">
        <v>0.3599</v>
      </c>
    </row>
    <row r="723" spans="1:2" x14ac:dyDescent="0.25">
      <c r="A723" t="s">
        <v>765</v>
      </c>
      <c r="B723">
        <v>0</v>
      </c>
    </row>
    <row r="724" spans="1:2" x14ac:dyDescent="0.25">
      <c r="A724" t="s">
        <v>766</v>
      </c>
      <c r="B724">
        <v>1.68E-6</v>
      </c>
    </row>
    <row r="725" spans="1:2" x14ac:dyDescent="0.25">
      <c r="A725" t="s">
        <v>767</v>
      </c>
      <c r="B725">
        <v>0.15720000000000001</v>
      </c>
    </row>
    <row r="726" spans="1:2" x14ac:dyDescent="0.25">
      <c r="A726" t="s">
        <v>768</v>
      </c>
      <c r="B726">
        <v>11.218999999999999</v>
      </c>
    </row>
    <row r="727" spans="1:2" x14ac:dyDescent="0.25">
      <c r="A727" t="s">
        <v>769</v>
      </c>
      <c r="B727">
        <v>25.83</v>
      </c>
    </row>
    <row r="728" spans="1:2" x14ac:dyDescent="0.25">
      <c r="A728" t="s">
        <v>770</v>
      </c>
      <c r="B728">
        <v>6.73</v>
      </c>
    </row>
    <row r="729" spans="1:2" x14ac:dyDescent="0.25">
      <c r="A729" t="s">
        <v>771</v>
      </c>
      <c r="B729">
        <v>2.2160000000000002</v>
      </c>
    </row>
    <row r="730" spans="1:2" x14ac:dyDescent="0.25">
      <c r="A730" t="s">
        <v>772</v>
      </c>
      <c r="B730">
        <v>0.67100000000000004</v>
      </c>
    </row>
    <row r="731" spans="1:2" x14ac:dyDescent="0.25">
      <c r="A731" t="s">
        <v>773</v>
      </c>
      <c r="B731">
        <v>0</v>
      </c>
    </row>
    <row r="732" spans="1:2" x14ac:dyDescent="0.25">
      <c r="A732" t="s">
        <v>774</v>
      </c>
      <c r="B732">
        <v>0</v>
      </c>
    </row>
    <row r="733" spans="1:2" x14ac:dyDescent="0.25">
      <c r="A733" t="s">
        <v>775</v>
      </c>
      <c r="B733">
        <v>0</v>
      </c>
    </row>
    <row r="734" spans="1:2" x14ac:dyDescent="0.25">
      <c r="A734" t="s">
        <v>776</v>
      </c>
      <c r="B734">
        <v>0</v>
      </c>
    </row>
    <row r="735" spans="1:2" x14ac:dyDescent="0.25">
      <c r="A735" t="s">
        <v>777</v>
      </c>
      <c r="B735">
        <v>0</v>
      </c>
    </row>
    <row r="736" spans="1:2" x14ac:dyDescent="0.25">
      <c r="A736" t="s">
        <v>778</v>
      </c>
      <c r="B736">
        <v>0</v>
      </c>
    </row>
    <row r="737" spans="1:2" x14ac:dyDescent="0.25">
      <c r="A737" t="s">
        <v>779</v>
      </c>
      <c r="B737">
        <v>0</v>
      </c>
    </row>
    <row r="738" spans="1:2" x14ac:dyDescent="0.25">
      <c r="A738" t="s">
        <v>780</v>
      </c>
      <c r="B738">
        <v>0</v>
      </c>
    </row>
    <row r="739" spans="1:2" x14ac:dyDescent="0.25">
      <c r="A739" t="s">
        <v>781</v>
      </c>
      <c r="B739">
        <v>0.1709</v>
      </c>
    </row>
    <row r="740" spans="1:2" x14ac:dyDescent="0.25">
      <c r="A740" t="s">
        <v>782</v>
      </c>
      <c r="B740">
        <v>0.26069999999999999</v>
      </c>
    </row>
    <row r="741" spans="1:2" x14ac:dyDescent="0.25">
      <c r="A741" t="s">
        <v>783</v>
      </c>
      <c r="B741">
        <v>0</v>
      </c>
    </row>
    <row r="742" spans="1:2" x14ac:dyDescent="0.25">
      <c r="A742" t="s">
        <v>784</v>
      </c>
      <c r="B742">
        <v>0.15740000000000001</v>
      </c>
    </row>
    <row r="743" spans="1:2" x14ac:dyDescent="0.25">
      <c r="A743" t="s">
        <v>785</v>
      </c>
      <c r="B743">
        <v>1.525E-2</v>
      </c>
    </row>
    <row r="744" spans="1:2" x14ac:dyDescent="0.25">
      <c r="A744" t="s">
        <v>786</v>
      </c>
      <c r="B744">
        <v>0</v>
      </c>
    </row>
    <row r="745" spans="1:2" x14ac:dyDescent="0.25">
      <c r="A745" t="s">
        <v>787</v>
      </c>
      <c r="B745">
        <v>0</v>
      </c>
    </row>
    <row r="746" spans="1:2" x14ac:dyDescent="0.25">
      <c r="A746" t="s">
        <v>788</v>
      </c>
      <c r="B746">
        <v>0</v>
      </c>
    </row>
    <row r="747" spans="1:2" x14ac:dyDescent="0.25">
      <c r="A747" t="s">
        <v>789</v>
      </c>
      <c r="B747">
        <v>0</v>
      </c>
    </row>
    <row r="748" spans="1:2" x14ac:dyDescent="0.25">
      <c r="A748" t="s">
        <v>790</v>
      </c>
      <c r="B748">
        <v>9.4299999999999991E-3</v>
      </c>
    </row>
    <row r="749" spans="1:2" x14ac:dyDescent="0.25">
      <c r="A749" t="s">
        <v>791</v>
      </c>
      <c r="B749">
        <v>0</v>
      </c>
    </row>
    <row r="750" spans="1:2" x14ac:dyDescent="0.25">
      <c r="A750" t="s">
        <v>792</v>
      </c>
      <c r="B750">
        <v>0</v>
      </c>
    </row>
    <row r="751" spans="1:2" x14ac:dyDescent="0.25">
      <c r="A751" t="s">
        <v>793</v>
      </c>
      <c r="B751">
        <v>3.4659999999999999E-3</v>
      </c>
    </row>
    <row r="752" spans="1:2" x14ac:dyDescent="0.25">
      <c r="A752" t="s">
        <v>794</v>
      </c>
      <c r="B752">
        <v>2.1230000000000001E-4</v>
      </c>
    </row>
    <row r="753" spans="1:2" x14ac:dyDescent="0.25">
      <c r="A753" t="s">
        <v>795</v>
      </c>
      <c r="B753">
        <v>1.31E-6</v>
      </c>
    </row>
    <row r="754" spans="1:2" x14ac:dyDescent="0.25">
      <c r="A754" t="s">
        <v>796</v>
      </c>
      <c r="B754">
        <v>0.12263</v>
      </c>
    </row>
    <row r="755" spans="1:2" x14ac:dyDescent="0.25">
      <c r="A755" t="s">
        <v>797</v>
      </c>
      <c r="B755">
        <v>0.20710000000000001</v>
      </c>
    </row>
    <row r="756" spans="1:2" x14ac:dyDescent="0.25">
      <c r="A756" t="s">
        <v>798</v>
      </c>
      <c r="B756">
        <v>0</v>
      </c>
    </row>
    <row r="757" spans="1:2" x14ac:dyDescent="0.25">
      <c r="A757" t="s">
        <v>799</v>
      </c>
      <c r="B757">
        <v>1.7806999999999999</v>
      </c>
    </row>
    <row r="758" spans="1:2" x14ac:dyDescent="0.25">
      <c r="A758" t="s">
        <v>800</v>
      </c>
      <c r="B758">
        <v>170.2</v>
      </c>
    </row>
    <row r="759" spans="1:2" x14ac:dyDescent="0.25">
      <c r="A759" t="s">
        <v>801</v>
      </c>
      <c r="B759">
        <v>25.5</v>
      </c>
    </row>
    <row r="760" spans="1:2" x14ac:dyDescent="0.25">
      <c r="A760" t="s">
        <v>802</v>
      </c>
      <c r="B760">
        <v>0</v>
      </c>
    </row>
    <row r="761" spans="1:2" x14ac:dyDescent="0.25">
      <c r="A761" t="s">
        <v>803</v>
      </c>
      <c r="B761">
        <v>0</v>
      </c>
    </row>
    <row r="762" spans="1:2" x14ac:dyDescent="0.25">
      <c r="A762" t="s">
        <v>804</v>
      </c>
      <c r="B762">
        <v>0</v>
      </c>
    </row>
    <row r="763" spans="1:2" x14ac:dyDescent="0.25">
      <c r="A763" t="s">
        <v>805</v>
      </c>
      <c r="B763">
        <v>0</v>
      </c>
    </row>
    <row r="764" spans="1:2" x14ac:dyDescent="0.25">
      <c r="A764" t="s">
        <v>806</v>
      </c>
      <c r="B764">
        <v>0</v>
      </c>
    </row>
    <row r="765" spans="1:2" x14ac:dyDescent="0.25">
      <c r="A765" t="s">
        <v>807</v>
      </c>
      <c r="B765">
        <v>5.8999999999999996E-7</v>
      </c>
    </row>
    <row r="766" spans="1:2" x14ac:dyDescent="0.25">
      <c r="A766" t="s">
        <v>808</v>
      </c>
      <c r="B766">
        <v>5.5460000000000002E-2</v>
      </c>
    </row>
    <row r="767" spans="1:2" x14ac:dyDescent="0.25">
      <c r="A767" t="s">
        <v>809</v>
      </c>
      <c r="B767">
        <v>1803790</v>
      </c>
    </row>
    <row r="768" spans="1:2" x14ac:dyDescent="0.25">
      <c r="A768" t="s">
        <v>810</v>
      </c>
      <c r="B768">
        <v>65107</v>
      </c>
    </row>
    <row r="769" spans="1:2" x14ac:dyDescent="0.25">
      <c r="A769" t="s">
        <v>811</v>
      </c>
      <c r="B769">
        <v>0</v>
      </c>
    </row>
    <row r="770" spans="1:2" x14ac:dyDescent="0.25">
      <c r="A770" t="s">
        <v>812</v>
      </c>
      <c r="B770">
        <v>19.18</v>
      </c>
    </row>
    <row r="771" spans="1:2" x14ac:dyDescent="0.25">
      <c r="A771" t="s">
        <v>813</v>
      </c>
      <c r="B771">
        <v>18.850000000000001</v>
      </c>
    </row>
    <row r="772" spans="1:2" x14ac:dyDescent="0.25">
      <c r="A772" t="s">
        <v>814</v>
      </c>
      <c r="B772">
        <v>0</v>
      </c>
    </row>
    <row r="773" spans="1:2" x14ac:dyDescent="0.25">
      <c r="A773" t="s">
        <v>815</v>
      </c>
      <c r="B773">
        <v>0</v>
      </c>
    </row>
    <row r="774" spans="1:2" x14ac:dyDescent="0.25">
      <c r="A774" t="s">
        <v>816</v>
      </c>
      <c r="B774">
        <v>0</v>
      </c>
    </row>
    <row r="775" spans="1:2" x14ac:dyDescent="0.25">
      <c r="A775" t="s">
        <v>817</v>
      </c>
      <c r="B775">
        <v>1.03E-2</v>
      </c>
    </row>
    <row r="776" spans="1:2" x14ac:dyDescent="0.25">
      <c r="A776" t="s">
        <v>818</v>
      </c>
      <c r="B776">
        <v>2.3439999999999999E-2</v>
      </c>
    </row>
    <row r="777" spans="1:2" x14ac:dyDescent="0.25">
      <c r="A777" t="s">
        <v>819</v>
      </c>
      <c r="B777">
        <v>4.8649999999999999E-2</v>
      </c>
    </row>
    <row r="778" spans="1:2" x14ac:dyDescent="0.25">
      <c r="A778" t="s">
        <v>820</v>
      </c>
      <c r="B778">
        <v>0</v>
      </c>
    </row>
    <row r="779" spans="1:2" x14ac:dyDescent="0.25">
      <c r="A779" t="s">
        <v>821</v>
      </c>
      <c r="B779">
        <v>0.27489999999999998</v>
      </c>
    </row>
    <row r="780" spans="1:2" x14ac:dyDescent="0.25">
      <c r="A780" t="s">
        <v>822</v>
      </c>
      <c r="B780">
        <v>2.0701000000000001E-3</v>
      </c>
    </row>
    <row r="781" spans="1:2" x14ac:dyDescent="0.25">
      <c r="A781" t="s">
        <v>823</v>
      </c>
      <c r="B781">
        <v>194.5</v>
      </c>
    </row>
    <row r="782" spans="1:2" x14ac:dyDescent="0.25">
      <c r="A782" t="s">
        <v>824</v>
      </c>
      <c r="B782">
        <v>74.62</v>
      </c>
    </row>
    <row r="783" spans="1:2" x14ac:dyDescent="0.25">
      <c r="A783" t="s">
        <v>825</v>
      </c>
      <c r="B783">
        <v>0</v>
      </c>
    </row>
    <row r="784" spans="1:2" x14ac:dyDescent="0.25">
      <c r="A784" t="s">
        <v>826</v>
      </c>
      <c r="B784">
        <v>0</v>
      </c>
    </row>
    <row r="785" spans="1:2" x14ac:dyDescent="0.25">
      <c r="A785" t="s">
        <v>827</v>
      </c>
      <c r="B785">
        <v>15907</v>
      </c>
    </row>
    <row r="786" spans="1:2" x14ac:dyDescent="0.25">
      <c r="A786" t="s">
        <v>828</v>
      </c>
      <c r="B786">
        <v>0</v>
      </c>
    </row>
    <row r="787" spans="1:2" x14ac:dyDescent="0.25">
      <c r="A787" t="s">
        <v>829</v>
      </c>
      <c r="B787">
        <v>1.7099999999999999E-6</v>
      </c>
    </row>
    <row r="788" spans="1:2" x14ac:dyDescent="0.25">
      <c r="A788" t="s">
        <v>830</v>
      </c>
      <c r="B788">
        <v>0.16020000000000001</v>
      </c>
    </row>
    <row r="789" spans="1:2" x14ac:dyDescent="0.25">
      <c r="A789" t="s">
        <v>831</v>
      </c>
      <c r="B789">
        <v>7.9830000000000005E-4</v>
      </c>
    </row>
    <row r="790" spans="1:2" x14ac:dyDescent="0.25">
      <c r="A790" t="s">
        <v>832</v>
      </c>
      <c r="B790">
        <v>0.16420000000000001</v>
      </c>
    </row>
    <row r="791" spans="1:2" x14ac:dyDescent="0.25">
      <c r="A791" t="s">
        <v>833</v>
      </c>
      <c r="B791">
        <v>0</v>
      </c>
    </row>
    <row r="792" spans="1:2" x14ac:dyDescent="0.25">
      <c r="A792" t="s">
        <v>834</v>
      </c>
      <c r="B792">
        <v>3.7100000000000001E-6</v>
      </c>
    </row>
    <row r="793" spans="1:2" x14ac:dyDescent="0.25">
      <c r="A793" t="s">
        <v>835</v>
      </c>
      <c r="B793">
        <v>0.34839999999999999</v>
      </c>
    </row>
    <row r="794" spans="1:2" x14ac:dyDescent="0.25">
      <c r="A794" t="s">
        <v>836</v>
      </c>
      <c r="B794">
        <v>4.3770000000000001E-4</v>
      </c>
    </row>
    <row r="795" spans="1:2" x14ac:dyDescent="0.25">
      <c r="A795" t="s">
        <v>837</v>
      </c>
      <c r="B795">
        <v>2.5500000000000001E-6</v>
      </c>
    </row>
    <row r="796" spans="1:2" x14ac:dyDescent="0.25">
      <c r="A796" t="s">
        <v>838</v>
      </c>
      <c r="B796">
        <v>0.23949999999999999</v>
      </c>
    </row>
    <row r="797" spans="1:2" x14ac:dyDescent="0.25">
      <c r="A797" t="s">
        <v>839</v>
      </c>
      <c r="B797">
        <v>16.600000000000001</v>
      </c>
    </row>
    <row r="798" spans="1:2" x14ac:dyDescent="0.25">
      <c r="A798" t="s">
        <v>840</v>
      </c>
      <c r="B798">
        <v>1.1850000000000001E-3</v>
      </c>
    </row>
    <row r="799" spans="1:2" x14ac:dyDescent="0.25">
      <c r="A799" t="s">
        <v>841</v>
      </c>
      <c r="B799">
        <v>0</v>
      </c>
    </row>
    <row r="800" spans="1:2" x14ac:dyDescent="0.25">
      <c r="A800" t="s">
        <v>842</v>
      </c>
      <c r="B800">
        <v>9.0870000000000006E-2</v>
      </c>
    </row>
    <row r="801" spans="1:2" x14ac:dyDescent="0.25">
      <c r="A801" t="s">
        <v>843</v>
      </c>
      <c r="B801">
        <v>0</v>
      </c>
    </row>
    <row r="802" spans="1:2" x14ac:dyDescent="0.25">
      <c r="A802" t="s">
        <v>844</v>
      </c>
      <c r="B802">
        <v>0</v>
      </c>
    </row>
    <row r="803" spans="1:2" x14ac:dyDescent="0.25">
      <c r="A803" t="s">
        <v>845</v>
      </c>
      <c r="B803">
        <v>6.0199999999999997E-2</v>
      </c>
    </row>
    <row r="804" spans="1:2" x14ac:dyDescent="0.25">
      <c r="A804" t="s">
        <v>846</v>
      </c>
      <c r="B804">
        <v>0.8659</v>
      </c>
    </row>
    <row r="805" spans="1:2" x14ac:dyDescent="0.25">
      <c r="A805" t="s">
        <v>847</v>
      </c>
      <c r="B805">
        <v>0.1105</v>
      </c>
    </row>
    <row r="806" spans="1:2" x14ac:dyDescent="0.25">
      <c r="A806" t="s">
        <v>848</v>
      </c>
      <c r="B806">
        <v>1.583E-2</v>
      </c>
    </row>
    <row r="807" spans="1:2" x14ac:dyDescent="0.25">
      <c r="A807" t="s">
        <v>849</v>
      </c>
      <c r="B807">
        <v>0</v>
      </c>
    </row>
    <row r="808" spans="1:2" x14ac:dyDescent="0.25">
      <c r="A808" t="s">
        <v>850</v>
      </c>
      <c r="B808">
        <v>6.7000000000000004E-7</v>
      </c>
    </row>
    <row r="809" spans="1:2" x14ac:dyDescent="0.25">
      <c r="A809" t="s">
        <v>851</v>
      </c>
      <c r="B809">
        <v>6.3039999999999999E-2</v>
      </c>
    </row>
    <row r="810" spans="1:2" x14ac:dyDescent="0.25">
      <c r="A810" t="s">
        <v>852</v>
      </c>
      <c r="B810">
        <v>1.6E-7</v>
      </c>
    </row>
    <row r="811" spans="1:2" x14ac:dyDescent="0.25">
      <c r="A811" t="s">
        <v>853</v>
      </c>
      <c r="B811">
        <v>2.92E-6</v>
      </c>
    </row>
    <row r="812" spans="1:2" x14ac:dyDescent="0.25">
      <c r="A812" t="s">
        <v>854</v>
      </c>
      <c r="B812">
        <v>6.143E-3</v>
      </c>
    </row>
    <row r="813" spans="1:2" x14ac:dyDescent="0.25">
      <c r="A813" t="s">
        <v>855</v>
      </c>
      <c r="B813">
        <v>0.63700000000000001</v>
      </c>
    </row>
    <row r="814" spans="1:2" x14ac:dyDescent="0.25">
      <c r="A814" t="s">
        <v>856</v>
      </c>
      <c r="B814">
        <v>0.56289999999999996</v>
      </c>
    </row>
    <row r="815" spans="1:2" x14ac:dyDescent="0.25">
      <c r="A815" t="s">
        <v>857</v>
      </c>
      <c r="B815">
        <v>0</v>
      </c>
    </row>
    <row r="816" spans="1:2" x14ac:dyDescent="0.25">
      <c r="A816" t="s">
        <v>858</v>
      </c>
      <c r="B816">
        <v>4.7300000000000004</v>
      </c>
    </row>
    <row r="817" spans="1:2" x14ac:dyDescent="0.25">
      <c r="A817" t="s">
        <v>859</v>
      </c>
      <c r="B817">
        <v>0.17280000000000001</v>
      </c>
    </row>
    <row r="818" spans="1:2" x14ac:dyDescent="0.25">
      <c r="A818" t="s">
        <v>860</v>
      </c>
      <c r="B818">
        <v>0.2021</v>
      </c>
    </row>
    <row r="819" spans="1:2" x14ac:dyDescent="0.25">
      <c r="A819" t="s">
        <v>861</v>
      </c>
      <c r="B819">
        <v>0</v>
      </c>
    </row>
    <row r="820" spans="1:2" x14ac:dyDescent="0.25">
      <c r="A820" t="s">
        <v>862</v>
      </c>
      <c r="B820">
        <v>5.0200000000000002E-3</v>
      </c>
    </row>
    <row r="821" spans="1:2" x14ac:dyDescent="0.25">
      <c r="A821" t="s">
        <v>863</v>
      </c>
      <c r="B821">
        <v>8.6400000000000003E-6</v>
      </c>
    </row>
    <row r="822" spans="1:2" x14ac:dyDescent="0.25">
      <c r="A822" t="s">
        <v>864</v>
      </c>
      <c r="B822">
        <v>3.5000000000000003E-2</v>
      </c>
    </row>
    <row r="823" spans="1:2" x14ac:dyDescent="0.25">
      <c r="A823" t="s">
        <v>865</v>
      </c>
      <c r="B823">
        <v>35986.75</v>
      </c>
    </row>
    <row r="824" spans="1:2" x14ac:dyDescent="0.25">
      <c r="A824" t="s">
        <v>866</v>
      </c>
      <c r="B824">
        <v>1974.32</v>
      </c>
    </row>
    <row r="825" spans="1:2" x14ac:dyDescent="0.25">
      <c r="A825" t="s">
        <v>867</v>
      </c>
      <c r="B825">
        <v>0.52569999999999995</v>
      </c>
    </row>
    <row r="826" spans="1:2" x14ac:dyDescent="0.25">
      <c r="A826" t="s">
        <v>868</v>
      </c>
      <c r="B826">
        <v>267.39999999999998</v>
      </c>
    </row>
    <row r="827" spans="1:2" x14ac:dyDescent="0.25">
      <c r="A827" t="s">
        <v>869</v>
      </c>
      <c r="B827">
        <v>1.2390000000000001</v>
      </c>
    </row>
    <row r="828" spans="1:2" x14ac:dyDescent="0.25">
      <c r="A828" t="s">
        <v>870</v>
      </c>
      <c r="B828">
        <v>8.9999999999999999E-8</v>
      </c>
    </row>
    <row r="829" spans="1:2" x14ac:dyDescent="0.25">
      <c r="A829" t="s">
        <v>871</v>
      </c>
      <c r="B829">
        <v>6.3200000000000001E-3</v>
      </c>
    </row>
    <row r="830" spans="1:2" x14ac:dyDescent="0.25">
      <c r="A830" t="s">
        <v>872</v>
      </c>
      <c r="B830">
        <v>4198231</v>
      </c>
    </row>
    <row r="831" spans="1:2" x14ac:dyDescent="0.25">
      <c r="A831" t="s">
        <v>873</v>
      </c>
      <c r="B831">
        <v>44.51</v>
      </c>
    </row>
    <row r="832" spans="1:2" x14ac:dyDescent="0.25">
      <c r="A832" t="s">
        <v>874</v>
      </c>
      <c r="B832">
        <v>8.3000000000000001E-4</v>
      </c>
    </row>
    <row r="833" spans="1:2" x14ac:dyDescent="0.25">
      <c r="A833" t="s">
        <v>875</v>
      </c>
      <c r="B833">
        <v>0</v>
      </c>
    </row>
    <row r="834" spans="1:2" x14ac:dyDescent="0.25">
      <c r="A834" t="s">
        <v>876</v>
      </c>
      <c r="B834">
        <v>45.79</v>
      </c>
    </row>
    <row r="835" spans="1:2" x14ac:dyDescent="0.25">
      <c r="A835" t="s">
        <v>877</v>
      </c>
      <c r="B835">
        <v>77.78</v>
      </c>
    </row>
    <row r="836" spans="1:2" x14ac:dyDescent="0.25">
      <c r="A836" t="s">
        <v>878</v>
      </c>
      <c r="B836">
        <v>1042508253</v>
      </c>
    </row>
    <row r="837" spans="1:2" x14ac:dyDescent="0.25">
      <c r="A837" t="s">
        <v>879</v>
      </c>
      <c r="B837">
        <v>47041943</v>
      </c>
    </row>
    <row r="838" spans="1:2" x14ac:dyDescent="0.25">
      <c r="A838" t="s">
        <v>880</v>
      </c>
      <c r="B838">
        <v>3335250</v>
      </c>
    </row>
    <row r="839" spans="1:2" x14ac:dyDescent="0.25">
      <c r="A839" t="s">
        <v>881</v>
      </c>
      <c r="B839">
        <v>15559</v>
      </c>
    </row>
    <row r="840" spans="1:2" x14ac:dyDescent="0.25">
      <c r="A840" t="s">
        <v>882</v>
      </c>
      <c r="B840">
        <v>15980</v>
      </c>
    </row>
    <row r="841" spans="1:2" x14ac:dyDescent="0.25">
      <c r="A841" t="s">
        <v>883</v>
      </c>
      <c r="B841">
        <v>0</v>
      </c>
    </row>
    <row r="842" spans="1:2" x14ac:dyDescent="0.25">
      <c r="A842" t="s">
        <v>884</v>
      </c>
      <c r="B842">
        <v>0</v>
      </c>
    </row>
    <row r="843" spans="1:2" x14ac:dyDescent="0.25">
      <c r="A843" t="s">
        <v>885</v>
      </c>
      <c r="B843">
        <v>5.4770000000000001E-3</v>
      </c>
    </row>
    <row r="844" spans="1:2" x14ac:dyDescent="0.25">
      <c r="A844" t="s">
        <v>886</v>
      </c>
      <c r="B844">
        <v>28.07</v>
      </c>
    </row>
    <row r="845" spans="1:2" x14ac:dyDescent="0.25">
      <c r="A845" t="s">
        <v>887</v>
      </c>
      <c r="B845">
        <v>3.9400000000000004E-6</v>
      </c>
    </row>
    <row r="846" spans="1:2" x14ac:dyDescent="0.25">
      <c r="A846" t="s">
        <v>888</v>
      </c>
      <c r="B846">
        <v>4.4000000000000002E-4</v>
      </c>
    </row>
    <row r="847" spans="1:2" x14ac:dyDescent="0.25">
      <c r="A847" t="s">
        <v>889</v>
      </c>
      <c r="B847">
        <v>0.37209999999999999</v>
      </c>
    </row>
    <row r="848" spans="1:2" x14ac:dyDescent="0.25">
      <c r="A848" t="s">
        <v>890</v>
      </c>
      <c r="B848">
        <v>2.156E-5</v>
      </c>
    </row>
    <row r="849" spans="1:2" x14ac:dyDescent="0.25">
      <c r="A849" t="s">
        <v>891</v>
      </c>
      <c r="B849">
        <v>1.057E-2</v>
      </c>
    </row>
    <row r="850" spans="1:2" x14ac:dyDescent="0.25">
      <c r="A850" t="s">
        <v>892</v>
      </c>
      <c r="B850">
        <v>1.9359999999999999</v>
      </c>
    </row>
    <row r="851" spans="1:2" x14ac:dyDescent="0.25">
      <c r="A851" t="s">
        <v>893</v>
      </c>
      <c r="B851">
        <v>2.024</v>
      </c>
    </row>
    <row r="852" spans="1:2" x14ac:dyDescent="0.25">
      <c r="A852" t="s">
        <v>894</v>
      </c>
      <c r="B852">
        <v>11.651</v>
      </c>
    </row>
    <row r="853" spans="1:2" x14ac:dyDescent="0.25">
      <c r="A853" t="s">
        <v>895</v>
      </c>
      <c r="B853">
        <v>4.5699999999999998E-2</v>
      </c>
    </row>
    <row r="854" spans="1:2" x14ac:dyDescent="0.25">
      <c r="A854" t="s">
        <v>896</v>
      </c>
      <c r="B854">
        <v>0.104</v>
      </c>
    </row>
    <row r="855" spans="1:2" x14ac:dyDescent="0.25">
      <c r="A855" t="s">
        <v>897</v>
      </c>
      <c r="B855">
        <v>1.9170000000000001E-3</v>
      </c>
    </row>
    <row r="856" spans="1:2" x14ac:dyDescent="0.25">
      <c r="A856" t="s">
        <v>898</v>
      </c>
      <c r="B856">
        <v>6.0800000000000003E-3</v>
      </c>
    </row>
    <row r="857" spans="1:2" x14ac:dyDescent="0.25">
      <c r="A857" t="s">
        <v>899</v>
      </c>
      <c r="B857">
        <v>8.9499999999999996E-4</v>
      </c>
    </row>
    <row r="858" spans="1:2" x14ac:dyDescent="0.25">
      <c r="A858" t="s">
        <v>900</v>
      </c>
      <c r="B858">
        <v>0</v>
      </c>
    </row>
    <row r="859" spans="1:2" x14ac:dyDescent="0.25">
      <c r="A859" t="s">
        <v>901</v>
      </c>
      <c r="B859">
        <v>0</v>
      </c>
    </row>
    <row r="860" spans="1:2" x14ac:dyDescent="0.25">
      <c r="A860" t="s">
        <v>902</v>
      </c>
      <c r="B860">
        <v>2.7000000000000001E-3</v>
      </c>
    </row>
    <row r="861" spans="1:2" x14ac:dyDescent="0.25">
      <c r="A861" t="s">
        <v>903</v>
      </c>
      <c r="B861">
        <v>0</v>
      </c>
    </row>
    <row r="862" spans="1:2" x14ac:dyDescent="0.25">
      <c r="A862" t="s">
        <v>904</v>
      </c>
      <c r="B862">
        <v>1.133E-2</v>
      </c>
    </row>
    <row r="863" spans="1:2" x14ac:dyDescent="0.25">
      <c r="A863" t="s">
        <v>905</v>
      </c>
      <c r="B863">
        <v>1.18</v>
      </c>
    </row>
    <row r="864" spans="1:2" x14ac:dyDescent="0.25">
      <c r="A864" t="s">
        <v>906</v>
      </c>
      <c r="B864">
        <v>0.23710000000000001</v>
      </c>
    </row>
    <row r="865" spans="1:2" x14ac:dyDescent="0.25">
      <c r="A865" t="s">
        <v>907</v>
      </c>
      <c r="B865">
        <v>0.36809999999999998</v>
      </c>
    </row>
    <row r="866" spans="1:2" x14ac:dyDescent="0.25">
      <c r="A866" t="s">
        <v>908</v>
      </c>
      <c r="B866">
        <v>0</v>
      </c>
    </row>
    <row r="867" spans="1:2" x14ac:dyDescent="0.25">
      <c r="A867" t="s">
        <v>909</v>
      </c>
      <c r="B867">
        <v>1.4000000000000001E-7</v>
      </c>
    </row>
    <row r="868" spans="1:2" x14ac:dyDescent="0.25">
      <c r="A868" t="s">
        <v>910</v>
      </c>
      <c r="B868">
        <v>0</v>
      </c>
    </row>
    <row r="869" spans="1:2" x14ac:dyDescent="0.25">
      <c r="A869" t="s">
        <v>911</v>
      </c>
      <c r="B869">
        <v>0</v>
      </c>
    </row>
    <row r="870" spans="1:2" x14ac:dyDescent="0.25">
      <c r="A870" t="s">
        <v>912</v>
      </c>
      <c r="B870">
        <v>1.6140000000000002E-2</v>
      </c>
    </row>
    <row r="871" spans="1:2" x14ac:dyDescent="0.25">
      <c r="A871" t="s">
        <v>913</v>
      </c>
      <c r="B871">
        <v>1519</v>
      </c>
    </row>
    <row r="872" spans="1:2" x14ac:dyDescent="0.25">
      <c r="A872" t="s">
        <v>914</v>
      </c>
      <c r="B872">
        <v>1293</v>
      </c>
    </row>
    <row r="873" spans="1:2" x14ac:dyDescent="0.25">
      <c r="A873" t="s">
        <v>915</v>
      </c>
      <c r="B873">
        <v>0</v>
      </c>
    </row>
    <row r="874" spans="1:2" x14ac:dyDescent="0.25">
      <c r="A874" t="s">
        <v>916</v>
      </c>
      <c r="B874">
        <v>0</v>
      </c>
    </row>
    <row r="875" spans="1:2" x14ac:dyDescent="0.25">
      <c r="A875" t="s">
        <v>917</v>
      </c>
      <c r="B875">
        <v>0</v>
      </c>
    </row>
    <row r="876" spans="1:2" x14ac:dyDescent="0.25">
      <c r="A876" t="s">
        <v>918</v>
      </c>
      <c r="B876">
        <v>0</v>
      </c>
    </row>
    <row r="877" spans="1:2" x14ac:dyDescent="0.25">
      <c r="A877" t="s">
        <v>919</v>
      </c>
      <c r="B877">
        <v>6.5490000000000001E-3</v>
      </c>
    </row>
    <row r="878" spans="1:2" x14ac:dyDescent="0.25">
      <c r="A878" t="s">
        <v>920</v>
      </c>
      <c r="B878">
        <v>4.9280000000000003E-5</v>
      </c>
    </row>
    <row r="879" spans="1:2" x14ac:dyDescent="0.25">
      <c r="A879" t="s">
        <v>921</v>
      </c>
      <c r="B879">
        <v>5.4619999999999997</v>
      </c>
    </row>
    <row r="880" spans="1:2" x14ac:dyDescent="0.25">
      <c r="A880" t="s">
        <v>922</v>
      </c>
      <c r="B880">
        <v>0.43880000000000002</v>
      </c>
    </row>
    <row r="881" spans="1:2" x14ac:dyDescent="0.25">
      <c r="A881" t="s">
        <v>923</v>
      </c>
      <c r="B881">
        <v>9.7420000000000007E-2</v>
      </c>
    </row>
    <row r="882" spans="1:2" x14ac:dyDescent="0.25">
      <c r="A882" t="s">
        <v>924</v>
      </c>
      <c r="B882">
        <v>0</v>
      </c>
    </row>
    <row r="883" spans="1:2" x14ac:dyDescent="0.25">
      <c r="A883" t="s">
        <v>925</v>
      </c>
      <c r="B883">
        <v>0.16889999999999999</v>
      </c>
    </row>
    <row r="884" spans="1:2" x14ac:dyDescent="0.25">
      <c r="A884" t="s">
        <v>926</v>
      </c>
      <c r="B884">
        <v>15.86</v>
      </c>
    </row>
    <row r="885" spans="1:2" x14ac:dyDescent="0.25">
      <c r="A885" t="s">
        <v>927</v>
      </c>
      <c r="B885">
        <v>0.4914</v>
      </c>
    </row>
    <row r="886" spans="1:2" x14ac:dyDescent="0.25">
      <c r="A886" t="s">
        <v>928</v>
      </c>
      <c r="B886">
        <v>0</v>
      </c>
    </row>
    <row r="887" spans="1:2" x14ac:dyDescent="0.25">
      <c r="A887" t="s">
        <v>929</v>
      </c>
      <c r="B887">
        <v>0</v>
      </c>
    </row>
    <row r="888" spans="1:2" x14ac:dyDescent="0.25">
      <c r="A888" t="s">
        <v>930</v>
      </c>
      <c r="B888">
        <v>37210.080000000002</v>
      </c>
    </row>
    <row r="889" spans="1:2" x14ac:dyDescent="0.25">
      <c r="A889" t="s">
        <v>931</v>
      </c>
      <c r="B889">
        <v>2565.09</v>
      </c>
    </row>
    <row r="890" spans="1:2" x14ac:dyDescent="0.25">
      <c r="A890" t="s">
        <v>932</v>
      </c>
      <c r="B890">
        <v>0.72550000000000003</v>
      </c>
    </row>
    <row r="891" spans="1:2" x14ac:dyDescent="0.25">
      <c r="A891" t="s">
        <v>933</v>
      </c>
      <c r="B891">
        <v>0</v>
      </c>
    </row>
    <row r="892" spans="1:2" x14ac:dyDescent="0.25">
      <c r="A892" t="s">
        <v>934</v>
      </c>
      <c r="B892">
        <v>4.5999999999999999E-7</v>
      </c>
    </row>
    <row r="893" spans="1:2" x14ac:dyDescent="0.25">
      <c r="A893" t="s">
        <v>935</v>
      </c>
      <c r="B893">
        <v>1.9220000000000001E-2</v>
      </c>
    </row>
    <row r="894" spans="1:2" x14ac:dyDescent="0.25">
      <c r="A894" t="s">
        <v>936</v>
      </c>
      <c r="B894">
        <v>61.8</v>
      </c>
    </row>
    <row r="895" spans="1:2" x14ac:dyDescent="0.25">
      <c r="A895" t="s">
        <v>937</v>
      </c>
      <c r="B895">
        <v>2.1510000000000001E-3</v>
      </c>
    </row>
    <row r="896" spans="1:2" x14ac:dyDescent="0.25">
      <c r="A896" t="s">
        <v>938</v>
      </c>
      <c r="B896">
        <v>0</v>
      </c>
    </row>
    <row r="897" spans="1:2" x14ac:dyDescent="0.25">
      <c r="A897" t="s">
        <v>939</v>
      </c>
      <c r="B897">
        <v>0</v>
      </c>
    </row>
    <row r="898" spans="1:2" x14ac:dyDescent="0.25">
      <c r="A898" t="s">
        <v>940</v>
      </c>
      <c r="B898">
        <v>0</v>
      </c>
    </row>
    <row r="899" spans="1:2" x14ac:dyDescent="0.25">
      <c r="A899" t="s">
        <v>941</v>
      </c>
      <c r="B899">
        <v>1.509E-5</v>
      </c>
    </row>
    <row r="900" spans="1:2" x14ac:dyDescent="0.25">
      <c r="A900" t="s">
        <v>942</v>
      </c>
      <c r="B900">
        <v>0.47</v>
      </c>
    </row>
    <row r="901" spans="1:2" x14ac:dyDescent="0.25">
      <c r="A901" t="s">
        <v>943</v>
      </c>
      <c r="B901">
        <v>0</v>
      </c>
    </row>
    <row r="902" spans="1:2" x14ac:dyDescent="0.25">
      <c r="A902" t="s">
        <v>944</v>
      </c>
      <c r="B902">
        <v>0</v>
      </c>
    </row>
    <row r="903" spans="1:2" x14ac:dyDescent="0.25">
      <c r="A903" t="s">
        <v>945</v>
      </c>
      <c r="B903">
        <v>0.1431</v>
      </c>
    </row>
    <row r="904" spans="1:2" x14ac:dyDescent="0.25">
      <c r="A904" t="s">
        <v>946</v>
      </c>
      <c r="B904">
        <v>0.48359999999999997</v>
      </c>
    </row>
    <row r="905" spans="1:2" x14ac:dyDescent="0.25">
      <c r="A905" t="s">
        <v>947</v>
      </c>
      <c r="B905">
        <v>0.7</v>
      </c>
    </row>
    <row r="906" spans="1:2" x14ac:dyDescent="0.25">
      <c r="A906" t="s">
        <v>948</v>
      </c>
      <c r="B906">
        <v>421.1</v>
      </c>
    </row>
    <row r="907" spans="1:2" x14ac:dyDescent="0.25">
      <c r="A907" t="s">
        <v>949</v>
      </c>
      <c r="B907">
        <v>0.72519999999999996</v>
      </c>
    </row>
    <row r="908" spans="1:2" x14ac:dyDescent="0.25">
      <c r="A908" t="s">
        <v>950</v>
      </c>
      <c r="B908">
        <v>0</v>
      </c>
    </row>
    <row r="909" spans="1:2" x14ac:dyDescent="0.25">
      <c r="A909" t="s">
        <v>951</v>
      </c>
      <c r="B909">
        <v>3.1220000000000003E-5</v>
      </c>
    </row>
    <row r="910" spans="1:2" x14ac:dyDescent="0.25">
      <c r="A910" t="s">
        <v>952</v>
      </c>
      <c r="B910">
        <v>3.15</v>
      </c>
    </row>
    <row r="911" spans="1:2" x14ac:dyDescent="0.25">
      <c r="A911" t="s">
        <v>953</v>
      </c>
      <c r="B911">
        <v>0</v>
      </c>
    </row>
    <row r="912" spans="1:2" x14ac:dyDescent="0.25">
      <c r="A912" t="s">
        <v>954</v>
      </c>
      <c r="B912">
        <v>8.9399999999999993E-2</v>
      </c>
    </row>
    <row r="913" spans="1:2" x14ac:dyDescent="0.25">
      <c r="A913" t="s">
        <v>955</v>
      </c>
      <c r="B913">
        <v>5325</v>
      </c>
    </row>
    <row r="914" spans="1:2" x14ac:dyDescent="0.25">
      <c r="A914" t="s">
        <v>956</v>
      </c>
      <c r="B914">
        <v>8397</v>
      </c>
    </row>
    <row r="915" spans="1:2" x14ac:dyDescent="0.25">
      <c r="A915" t="s">
        <v>957</v>
      </c>
      <c r="B915">
        <v>5.5300000000000002E-2</v>
      </c>
    </row>
    <row r="916" spans="1:2" x14ac:dyDescent="0.25">
      <c r="A916" t="s">
        <v>958</v>
      </c>
      <c r="B916">
        <v>0</v>
      </c>
    </row>
    <row r="917" spans="1:2" x14ac:dyDescent="0.25">
      <c r="A917" t="s">
        <v>959</v>
      </c>
      <c r="B917">
        <v>2.573</v>
      </c>
    </row>
    <row r="918" spans="1:2" x14ac:dyDescent="0.25">
      <c r="A918" t="s">
        <v>960</v>
      </c>
      <c r="B918">
        <v>5.8200000000000002E-2</v>
      </c>
    </row>
    <row r="919" spans="1:2" x14ac:dyDescent="0.25">
      <c r="A919" t="s">
        <v>961</v>
      </c>
      <c r="B919">
        <v>5.2100000000000002E-3</v>
      </c>
    </row>
    <row r="920" spans="1:2" x14ac:dyDescent="0.25">
      <c r="A920" t="s">
        <v>962</v>
      </c>
      <c r="B920">
        <v>0.32829999999999998</v>
      </c>
    </row>
    <row r="921" spans="1:2" x14ac:dyDescent="0.25">
      <c r="A921" t="s">
        <v>963</v>
      </c>
      <c r="B921">
        <v>93948.29</v>
      </c>
    </row>
    <row r="922" spans="1:2" x14ac:dyDescent="0.25">
      <c r="A922" t="s">
        <v>964</v>
      </c>
      <c r="B922">
        <v>3394</v>
      </c>
    </row>
    <row r="923" spans="1:2" x14ac:dyDescent="0.25">
      <c r="A923" t="s">
        <v>965</v>
      </c>
      <c r="B923">
        <v>561.9</v>
      </c>
    </row>
    <row r="924" spans="1:2" x14ac:dyDescent="0.25">
      <c r="A924" t="s">
        <v>966</v>
      </c>
      <c r="B924">
        <v>0.99880000000000002</v>
      </c>
    </row>
    <row r="925" spans="1:2" x14ac:dyDescent="0.25">
      <c r="A925" t="s">
        <v>967</v>
      </c>
      <c r="B925">
        <v>1</v>
      </c>
    </row>
    <row r="926" spans="1:2" x14ac:dyDescent="0.25">
      <c r="A926" t="s">
        <v>968</v>
      </c>
      <c r="B926">
        <v>0</v>
      </c>
    </row>
    <row r="927" spans="1:2" x14ac:dyDescent="0.25">
      <c r="A927" t="s">
        <v>969</v>
      </c>
      <c r="B927">
        <v>4.0999999999999999E-7</v>
      </c>
    </row>
    <row r="928" spans="1:2" x14ac:dyDescent="0.25">
      <c r="A928" t="s">
        <v>970</v>
      </c>
      <c r="B928">
        <v>2.103E-2</v>
      </c>
    </row>
    <row r="929" spans="1:2" x14ac:dyDescent="0.25">
      <c r="A929" t="s">
        <v>971</v>
      </c>
      <c r="B929">
        <v>3.7949999999999998E-2</v>
      </c>
    </row>
    <row r="930" spans="1:2" x14ac:dyDescent="0.25">
      <c r="A930" t="s">
        <v>972</v>
      </c>
      <c r="B930">
        <v>8.4000000000000003E-4</v>
      </c>
    </row>
    <row r="931" spans="1:2" x14ac:dyDescent="0.25">
      <c r="A931" t="s">
        <v>973</v>
      </c>
      <c r="B931">
        <v>1.523E-5</v>
      </c>
    </row>
    <row r="932" spans="1:2" x14ac:dyDescent="0.25">
      <c r="A932" t="s">
        <v>974</v>
      </c>
      <c r="B932">
        <v>3.5299999999999998E-2</v>
      </c>
    </row>
    <row r="933" spans="1:2" x14ac:dyDescent="0.25">
      <c r="A933" t="s">
        <v>975</v>
      </c>
      <c r="B933">
        <v>0.24442</v>
      </c>
    </row>
    <row r="934" spans="1:2" x14ac:dyDescent="0.25">
      <c r="A934" t="s">
        <v>976</v>
      </c>
      <c r="B934">
        <v>1.7639999999999999E-2</v>
      </c>
    </row>
    <row r="935" spans="1:2" x14ac:dyDescent="0.25">
      <c r="A935" t="s">
        <v>977</v>
      </c>
      <c r="B935">
        <v>1.4320000000000001E-4</v>
      </c>
    </row>
    <row r="936" spans="1:2" x14ac:dyDescent="0.25">
      <c r="A936" t="s">
        <v>978</v>
      </c>
      <c r="B936">
        <v>4.3029999999999999</v>
      </c>
    </row>
    <row r="937" spans="1:2" x14ac:dyDescent="0.25">
      <c r="A937" t="s">
        <v>979</v>
      </c>
      <c r="B937">
        <v>7.407</v>
      </c>
    </row>
    <row r="938" spans="1:2" x14ac:dyDescent="0.25">
      <c r="A938" t="s">
        <v>980</v>
      </c>
      <c r="B938">
        <v>0</v>
      </c>
    </row>
    <row r="939" spans="1:2" x14ac:dyDescent="0.25">
      <c r="A939" t="s">
        <v>981</v>
      </c>
      <c r="B939">
        <v>1.005E-5</v>
      </c>
    </row>
    <row r="940" spans="1:2" x14ac:dyDescent="0.25">
      <c r="A940" t="s">
        <v>982</v>
      </c>
      <c r="B940">
        <v>0.50409999999999999</v>
      </c>
    </row>
    <row r="941" spans="1:2" x14ac:dyDescent="0.25">
      <c r="A941" t="s">
        <v>983</v>
      </c>
      <c r="B941">
        <v>0.94399999999999995</v>
      </c>
    </row>
    <row r="942" spans="1:2" x14ac:dyDescent="0.25">
      <c r="A942" t="s">
        <v>984</v>
      </c>
      <c r="B942">
        <v>6.6799999999999997E-4</v>
      </c>
    </row>
    <row r="943" spans="1:2" x14ac:dyDescent="0.25">
      <c r="A943" t="s">
        <v>985</v>
      </c>
      <c r="B943">
        <v>5.9100000000000002E-6</v>
      </c>
    </row>
    <row r="944" spans="1:2" x14ac:dyDescent="0.25">
      <c r="A944" t="s">
        <v>986</v>
      </c>
      <c r="B944">
        <v>0.55449999999999999</v>
      </c>
    </row>
    <row r="945" spans="1:2" x14ac:dyDescent="0.25">
      <c r="A945" t="s">
        <v>987</v>
      </c>
      <c r="B945">
        <v>0.3261</v>
      </c>
    </row>
    <row r="946" spans="1:2" x14ac:dyDescent="0.25">
      <c r="A946" t="s">
        <v>988</v>
      </c>
      <c r="B946">
        <v>1.044E-3</v>
      </c>
    </row>
    <row r="947" spans="1:2" x14ac:dyDescent="0.25">
      <c r="A947" t="s">
        <v>989</v>
      </c>
      <c r="B947">
        <v>9.6399999999999992E-6</v>
      </c>
    </row>
    <row r="948" spans="1:2" x14ac:dyDescent="0.25">
      <c r="A948" t="s">
        <v>990</v>
      </c>
      <c r="B948">
        <v>0.2848</v>
      </c>
    </row>
    <row r="949" spans="1:2" x14ac:dyDescent="0.25">
      <c r="A949" t="s">
        <v>991</v>
      </c>
      <c r="B949">
        <v>0.61229999999999996</v>
      </c>
    </row>
    <row r="950" spans="1:2" x14ac:dyDescent="0.25">
      <c r="A950" t="s">
        <v>992</v>
      </c>
      <c r="B950">
        <v>1.6899999999999999E-4</v>
      </c>
    </row>
    <row r="951" spans="1:2" x14ac:dyDescent="0.25">
      <c r="A951" t="s">
        <v>993</v>
      </c>
      <c r="B951">
        <v>11.43</v>
      </c>
    </row>
    <row r="952" spans="1:2" x14ac:dyDescent="0.25">
      <c r="A952" t="s">
        <v>994</v>
      </c>
      <c r="B952">
        <v>15.9</v>
      </c>
    </row>
    <row r="953" spans="1:2" x14ac:dyDescent="0.25">
      <c r="A953" t="s">
        <v>995</v>
      </c>
      <c r="B953">
        <v>9.6500000000000006E-3</v>
      </c>
    </row>
    <row r="954" spans="1:2" x14ac:dyDescent="0.25">
      <c r="A954" t="s">
        <v>996</v>
      </c>
      <c r="B954">
        <v>7.25E-5</v>
      </c>
    </row>
    <row r="955" spans="1:2" x14ac:dyDescent="0.25">
      <c r="A955" t="s">
        <v>997</v>
      </c>
      <c r="B955">
        <v>7.3730000000000002</v>
      </c>
    </row>
    <row r="956" spans="1:2" x14ac:dyDescent="0.25">
      <c r="A956" t="s">
        <v>998</v>
      </c>
      <c r="B956">
        <v>6.8209999999999997</v>
      </c>
    </row>
    <row r="957" spans="1:2" x14ac:dyDescent="0.25">
      <c r="A957" t="s">
        <v>999</v>
      </c>
      <c r="B957">
        <v>0</v>
      </c>
    </row>
    <row r="958" spans="1:2" x14ac:dyDescent="0.25">
      <c r="A958" t="s">
        <v>1000</v>
      </c>
      <c r="B958">
        <v>0</v>
      </c>
    </row>
    <row r="959" spans="1:2" x14ac:dyDescent="0.25">
      <c r="A959" t="s">
        <v>1001</v>
      </c>
      <c r="B959">
        <v>0.94420000000000004</v>
      </c>
    </row>
    <row r="960" spans="1:2" x14ac:dyDescent="0.25">
      <c r="A960" t="s">
        <v>1002</v>
      </c>
      <c r="B960">
        <v>0.42970000000000003</v>
      </c>
    </row>
    <row r="961" spans="1:2" x14ac:dyDescent="0.25">
      <c r="A961" t="s">
        <v>1003</v>
      </c>
      <c r="B961">
        <v>7.4000000000000001E-7</v>
      </c>
    </row>
    <row r="962" spans="1:2" x14ac:dyDescent="0.25">
      <c r="A962" t="s">
        <v>1004</v>
      </c>
      <c r="B962">
        <v>4.879E-2</v>
      </c>
    </row>
    <row r="963" spans="1:2" x14ac:dyDescent="0.25">
      <c r="A963" t="s">
        <v>1005</v>
      </c>
      <c r="B963">
        <v>8.5199999999999997E-6</v>
      </c>
    </row>
    <row r="964" spans="1:2" x14ac:dyDescent="0.25">
      <c r="A964" t="s">
        <v>1006</v>
      </c>
      <c r="B964">
        <v>0</v>
      </c>
    </row>
    <row r="965" spans="1:2" x14ac:dyDescent="0.25">
      <c r="A965" t="s">
        <v>1007</v>
      </c>
      <c r="B965">
        <v>1.8400000000000001E-3</v>
      </c>
    </row>
    <row r="966" spans="1:2" x14ac:dyDescent="0.25">
      <c r="A966" t="s">
        <v>1008</v>
      </c>
      <c r="B966">
        <v>1.3776E-2</v>
      </c>
    </row>
    <row r="967" spans="1:2" x14ac:dyDescent="0.25">
      <c r="A967" t="s">
        <v>1009</v>
      </c>
      <c r="B967">
        <v>6.4690000000000003</v>
      </c>
    </row>
    <row r="968" spans="1:2" x14ac:dyDescent="0.25">
      <c r="A968" t="s">
        <v>1010</v>
      </c>
      <c r="B968">
        <v>2.7980000000000001E-2</v>
      </c>
    </row>
    <row r="969" spans="1:2" x14ac:dyDescent="0.25">
      <c r="A969" t="s">
        <v>1011</v>
      </c>
      <c r="B969">
        <v>1941</v>
      </c>
    </row>
    <row r="970" spans="1:2" x14ac:dyDescent="0.25">
      <c r="A970" t="s">
        <v>1012</v>
      </c>
      <c r="B970">
        <v>2629</v>
      </c>
    </row>
    <row r="971" spans="1:2" x14ac:dyDescent="0.25">
      <c r="A971" t="s">
        <v>1013</v>
      </c>
      <c r="B971">
        <v>0</v>
      </c>
    </row>
    <row r="972" spans="1:2" x14ac:dyDescent="0.25">
      <c r="A972" t="s">
        <v>1014</v>
      </c>
      <c r="B972">
        <v>0</v>
      </c>
    </row>
    <row r="973" spans="1:2" x14ac:dyDescent="0.25">
      <c r="A973" t="s">
        <v>1015</v>
      </c>
      <c r="B973">
        <v>0</v>
      </c>
    </row>
    <row r="974" spans="1:2" x14ac:dyDescent="0.25">
      <c r="A974" t="s">
        <v>1016</v>
      </c>
      <c r="B974">
        <v>73.260000000000005</v>
      </c>
    </row>
    <row r="975" spans="1:2" x14ac:dyDescent="0.25">
      <c r="A975" t="s">
        <v>1017</v>
      </c>
      <c r="B975">
        <v>0</v>
      </c>
    </row>
    <row r="976" spans="1:2" x14ac:dyDescent="0.25">
      <c r="A976" t="s">
        <v>1018</v>
      </c>
      <c r="B976">
        <v>6.9099999999999999E-4</v>
      </c>
    </row>
    <row r="977" spans="1:2" x14ac:dyDescent="0.25">
      <c r="A977" t="s">
        <v>1019</v>
      </c>
      <c r="B977">
        <v>90.12</v>
      </c>
    </row>
    <row r="978" spans="1:2" x14ac:dyDescent="0.25">
      <c r="A978" t="s">
        <v>1020</v>
      </c>
      <c r="B978">
        <v>64.72</v>
      </c>
    </row>
    <row r="979" spans="1:2" x14ac:dyDescent="0.25">
      <c r="A979" t="s">
        <v>1021</v>
      </c>
      <c r="B979">
        <v>0</v>
      </c>
    </row>
    <row r="980" spans="1:2" x14ac:dyDescent="0.25">
      <c r="A980" t="s">
        <v>1022</v>
      </c>
      <c r="B980">
        <v>72297</v>
      </c>
    </row>
    <row r="981" spans="1:2" x14ac:dyDescent="0.25">
      <c r="A981" t="s">
        <v>1023</v>
      </c>
      <c r="B981">
        <v>7.9859999999999998</v>
      </c>
    </row>
    <row r="982" spans="1:2" x14ac:dyDescent="0.25">
      <c r="A982" t="s">
        <v>1024</v>
      </c>
      <c r="B982">
        <v>0</v>
      </c>
    </row>
    <row r="983" spans="1:2" x14ac:dyDescent="0.25">
      <c r="A983" t="s">
        <v>1025</v>
      </c>
      <c r="B983">
        <v>0</v>
      </c>
    </row>
    <row r="984" spans="1:2" x14ac:dyDescent="0.25">
      <c r="A984" t="s">
        <v>1026</v>
      </c>
      <c r="B984">
        <v>0</v>
      </c>
    </row>
    <row r="985" spans="1:2" x14ac:dyDescent="0.25">
      <c r="A985" t="s">
        <v>1027</v>
      </c>
      <c r="B985">
        <v>0</v>
      </c>
    </row>
    <row r="986" spans="1:2" x14ac:dyDescent="0.25">
      <c r="A986" t="s">
        <v>1028</v>
      </c>
      <c r="B986">
        <v>0</v>
      </c>
    </row>
    <row r="987" spans="1:2" x14ac:dyDescent="0.25">
      <c r="A987" t="s">
        <v>1029</v>
      </c>
      <c r="B987">
        <v>0.99890000000000001</v>
      </c>
    </row>
    <row r="988" spans="1:2" x14ac:dyDescent="0.25">
      <c r="A988" t="s">
        <v>1030</v>
      </c>
      <c r="B988">
        <v>27.66</v>
      </c>
    </row>
    <row r="989" spans="1:2" x14ac:dyDescent="0.25">
      <c r="A989" t="s">
        <v>1031</v>
      </c>
      <c r="B989">
        <v>2.6979999999999999E-3</v>
      </c>
    </row>
    <row r="990" spans="1:2" x14ac:dyDescent="0.25">
      <c r="A990" t="s">
        <v>1032</v>
      </c>
      <c r="B990">
        <v>1.4790000000000001E-5</v>
      </c>
    </row>
    <row r="991" spans="1:2" x14ac:dyDescent="0.25">
      <c r="A991" t="s">
        <v>1033</v>
      </c>
      <c r="B991">
        <v>0.56599999999999995</v>
      </c>
    </row>
    <row r="992" spans="1:2" x14ac:dyDescent="0.25">
      <c r="A992" t="s">
        <v>1034</v>
      </c>
      <c r="B992">
        <v>1.385</v>
      </c>
    </row>
    <row r="993" spans="1:2" x14ac:dyDescent="0.25">
      <c r="A993" t="s">
        <v>1035</v>
      </c>
      <c r="B993">
        <v>0</v>
      </c>
    </row>
    <row r="994" spans="1:2" x14ac:dyDescent="0.25">
      <c r="A994" t="s">
        <v>1036</v>
      </c>
      <c r="B994">
        <v>7.2489999999999999E-2</v>
      </c>
    </row>
    <row r="995" spans="1:2" x14ac:dyDescent="0.25">
      <c r="A995" t="s">
        <v>1037</v>
      </c>
      <c r="B995">
        <v>0</v>
      </c>
    </row>
    <row r="996" spans="1:2" x14ac:dyDescent="0.25">
      <c r="A996" t="s">
        <v>1038</v>
      </c>
      <c r="B996">
        <v>435.5</v>
      </c>
    </row>
    <row r="997" spans="1:2" x14ac:dyDescent="0.25">
      <c r="A997" t="s">
        <v>1039</v>
      </c>
      <c r="B997">
        <v>9.0800000000000006E-2</v>
      </c>
    </row>
    <row r="998" spans="1:2" x14ac:dyDescent="0.25">
      <c r="A998" t="s">
        <v>1040</v>
      </c>
      <c r="B998">
        <v>3.6729999999999998E-4</v>
      </c>
    </row>
    <row r="999" spans="1:2" x14ac:dyDescent="0.25">
      <c r="A999" t="s">
        <v>1041</v>
      </c>
      <c r="B999">
        <v>18.87</v>
      </c>
    </row>
    <row r="1000" spans="1:2" x14ac:dyDescent="0.25">
      <c r="A1000" t="s">
        <v>1042</v>
      </c>
      <c r="B1000">
        <v>34.61</v>
      </c>
    </row>
    <row r="1001" spans="1:2" x14ac:dyDescent="0.25">
      <c r="A1001" t="s">
        <v>1043</v>
      </c>
      <c r="B1001">
        <v>4.9509999999999998E-2</v>
      </c>
    </row>
    <row r="1002" spans="1:2" x14ac:dyDescent="0.25">
      <c r="A1002" t="s">
        <v>1044</v>
      </c>
      <c r="B1002">
        <v>3.7350000000000003E-4</v>
      </c>
    </row>
    <row r="1003" spans="1:2" x14ac:dyDescent="0.25">
      <c r="A1003" t="s">
        <v>1045</v>
      </c>
      <c r="B1003">
        <v>41.53</v>
      </c>
    </row>
    <row r="1004" spans="1:2" x14ac:dyDescent="0.25">
      <c r="A1004" t="s">
        <v>1046</v>
      </c>
      <c r="B1004">
        <v>35.01</v>
      </c>
    </row>
    <row r="1005" spans="1:2" x14ac:dyDescent="0.25">
      <c r="A1005" t="s">
        <v>1047</v>
      </c>
      <c r="B1005">
        <v>0</v>
      </c>
    </row>
    <row r="1006" spans="1:2" x14ac:dyDescent="0.25">
      <c r="A1006" t="s">
        <v>1048</v>
      </c>
      <c r="B1006">
        <v>7.7999999999999999E-6</v>
      </c>
    </row>
    <row r="1007" spans="1:2" x14ac:dyDescent="0.25">
      <c r="A1007" t="s">
        <v>1049</v>
      </c>
      <c r="B1007">
        <v>0.2384</v>
      </c>
    </row>
    <row r="1008" spans="1:2" x14ac:dyDescent="0.25">
      <c r="A1008" t="s">
        <v>1050</v>
      </c>
      <c r="B1008">
        <v>0.7319</v>
      </c>
    </row>
    <row r="1009" spans="1:2" x14ac:dyDescent="0.25">
      <c r="A1009" t="s">
        <v>1051</v>
      </c>
      <c r="B1009">
        <v>4.6269999999999998</v>
      </c>
    </row>
    <row r="1010" spans="1:2" x14ac:dyDescent="0.25">
      <c r="A1010" t="s">
        <v>1052</v>
      </c>
      <c r="B1010">
        <v>4.3839999999999997E-2</v>
      </c>
    </row>
    <row r="1011" spans="1:2" x14ac:dyDescent="0.25">
      <c r="A1011" t="s">
        <v>1053</v>
      </c>
      <c r="B1011">
        <v>2.94E-5</v>
      </c>
    </row>
    <row r="1012" spans="1:2" x14ac:dyDescent="0.25">
      <c r="A1012" t="s">
        <v>1054</v>
      </c>
      <c r="B1012">
        <v>2.7610000000000001</v>
      </c>
    </row>
    <row r="1013" spans="1:2" x14ac:dyDescent="0.25">
      <c r="A1013" t="s">
        <v>1055</v>
      </c>
      <c r="B1013">
        <v>0</v>
      </c>
    </row>
    <row r="1014" spans="1:2" x14ac:dyDescent="0.25">
      <c r="A1014" t="s">
        <v>1056</v>
      </c>
      <c r="B1014">
        <v>0</v>
      </c>
    </row>
    <row r="1015" spans="1:2" x14ac:dyDescent="0.25">
      <c r="A1015" t="s">
        <v>1057</v>
      </c>
      <c r="B1015">
        <v>3.8539999999999998E-2</v>
      </c>
    </row>
    <row r="1016" spans="1:2" x14ac:dyDescent="0.25">
      <c r="A1016" t="s">
        <v>1058</v>
      </c>
      <c r="B1016">
        <v>1.139</v>
      </c>
    </row>
    <row r="1017" spans="1:2" x14ac:dyDescent="0.25">
      <c r="A1017" t="s">
        <v>1059</v>
      </c>
      <c r="B1017">
        <v>8.5500000000000007E-2</v>
      </c>
    </row>
    <row r="1018" spans="1:2" x14ac:dyDescent="0.25">
      <c r="A1018" t="s">
        <v>1060</v>
      </c>
      <c r="B1018">
        <v>8.1719999999999997E-5</v>
      </c>
    </row>
    <row r="1019" spans="1:2" x14ac:dyDescent="0.25">
      <c r="A1019" t="s">
        <v>1061</v>
      </c>
      <c r="B1019">
        <v>9.6000000000000002E-2</v>
      </c>
    </row>
    <row r="1020" spans="1:2" x14ac:dyDescent="0.25">
      <c r="A1020" t="s">
        <v>1062</v>
      </c>
      <c r="B1020">
        <v>16.736999999999998</v>
      </c>
    </row>
    <row r="1021" spans="1:2" x14ac:dyDescent="0.25">
      <c r="A1021" t="s">
        <v>1063</v>
      </c>
      <c r="B1021">
        <v>0</v>
      </c>
    </row>
    <row r="1022" spans="1:2" x14ac:dyDescent="0.25">
      <c r="A1022" t="s">
        <v>1064</v>
      </c>
      <c r="B1022">
        <v>0</v>
      </c>
    </row>
    <row r="1023" spans="1:2" x14ac:dyDescent="0.25">
      <c r="A1023" t="s">
        <v>1065</v>
      </c>
      <c r="B1023">
        <v>742.2</v>
      </c>
    </row>
    <row r="1024" spans="1:2" x14ac:dyDescent="0.25">
      <c r="A1024" t="s">
        <v>1066</v>
      </c>
      <c r="B1024">
        <v>1518.4</v>
      </c>
    </row>
    <row r="1025" spans="1:2" x14ac:dyDescent="0.25">
      <c r="A1025" t="s">
        <v>1067</v>
      </c>
      <c r="B1025">
        <v>2.5379999999999999E-3</v>
      </c>
    </row>
    <row r="1026" spans="1:2" x14ac:dyDescent="0.25">
      <c r="A1026" t="s">
        <v>1068</v>
      </c>
      <c r="B1026">
        <v>6.2600000000000002E-6</v>
      </c>
    </row>
    <row r="1027" spans="1:2" x14ac:dyDescent="0.25">
      <c r="A1027" t="s">
        <v>1069</v>
      </c>
      <c r="B1027">
        <v>0.53559999999999997</v>
      </c>
    </row>
    <row r="1028" spans="1:2" x14ac:dyDescent="0.25">
      <c r="A1028" t="s">
        <v>1070</v>
      </c>
      <c r="B1028">
        <v>0.58799999999999997</v>
      </c>
    </row>
    <row r="1029" spans="1:2" x14ac:dyDescent="0.25">
      <c r="A1029" t="s">
        <v>1071</v>
      </c>
      <c r="B1029">
        <v>0</v>
      </c>
    </row>
    <row r="1030" spans="1:2" x14ac:dyDescent="0.25">
      <c r="A1030" t="s">
        <v>1072</v>
      </c>
      <c r="B1030">
        <v>1.093E-4</v>
      </c>
    </row>
    <row r="1031" spans="1:2" x14ac:dyDescent="0.25">
      <c r="A1031" t="s">
        <v>1073</v>
      </c>
      <c r="B1031">
        <v>0</v>
      </c>
    </row>
    <row r="1032" spans="1:2" x14ac:dyDescent="0.25">
      <c r="A1032" t="s">
        <v>1074</v>
      </c>
      <c r="B1032">
        <v>0</v>
      </c>
    </row>
    <row r="1033" spans="1:2" x14ac:dyDescent="0.25">
      <c r="A1033" t="s">
        <v>1075</v>
      </c>
      <c r="B1033">
        <v>5.79</v>
      </c>
    </row>
    <row r="1034" spans="1:2" x14ac:dyDescent="0.25">
      <c r="A1034" t="s">
        <v>1076</v>
      </c>
      <c r="B1034">
        <v>5.8849999999999998</v>
      </c>
    </row>
    <row r="1035" spans="1:2" x14ac:dyDescent="0.25">
      <c r="A1035" t="s">
        <v>1077</v>
      </c>
      <c r="B1035">
        <v>0</v>
      </c>
    </row>
    <row r="1036" spans="1:2" x14ac:dyDescent="0.25">
      <c r="A1036" t="s">
        <v>1078</v>
      </c>
      <c r="B1036">
        <v>0</v>
      </c>
    </row>
    <row r="1037" spans="1:2" x14ac:dyDescent="0.25">
      <c r="A1037" t="s">
        <v>1079</v>
      </c>
      <c r="B1037">
        <v>0</v>
      </c>
    </row>
    <row r="1038" spans="1:2" x14ac:dyDescent="0.25">
      <c r="A1038" t="s">
        <v>1080</v>
      </c>
      <c r="B1038">
        <v>0.26540000000000002</v>
      </c>
    </row>
    <row r="1039" spans="1:2" x14ac:dyDescent="0.25">
      <c r="A1039" t="s">
        <v>1081</v>
      </c>
      <c r="B1039">
        <v>0</v>
      </c>
    </row>
    <row r="1040" spans="1:2" x14ac:dyDescent="0.25">
      <c r="A1040" t="s">
        <v>1082</v>
      </c>
      <c r="B1040">
        <v>19.86</v>
      </c>
    </row>
    <row r="1041" spans="1:2" x14ac:dyDescent="0.25">
      <c r="A1041" t="s">
        <v>1083</v>
      </c>
      <c r="B1041">
        <v>1.464E-2</v>
      </c>
    </row>
    <row r="1042" spans="1:2" x14ac:dyDescent="0.25">
      <c r="A1042" t="s">
        <v>1084</v>
      </c>
      <c r="B1042">
        <v>1.4359999999999999E-4</v>
      </c>
    </row>
    <row r="1043" spans="1:2" x14ac:dyDescent="0.25">
      <c r="A1043" t="s">
        <v>1085</v>
      </c>
      <c r="B1043">
        <v>4.58</v>
      </c>
    </row>
    <row r="1044" spans="1:2" x14ac:dyDescent="0.25">
      <c r="A1044" t="s">
        <v>1086</v>
      </c>
      <c r="B1044">
        <v>13.499000000000001</v>
      </c>
    </row>
    <row r="1045" spans="1:2" x14ac:dyDescent="0.25">
      <c r="A1045" t="s">
        <v>1087</v>
      </c>
      <c r="B1045">
        <v>0</v>
      </c>
    </row>
    <row r="1046" spans="1:2" x14ac:dyDescent="0.25">
      <c r="A1046" t="s">
        <v>1088</v>
      </c>
      <c r="B1046">
        <v>1.66E-3</v>
      </c>
    </row>
    <row r="1047" spans="1:2" x14ac:dyDescent="0.25">
      <c r="A1047" t="s">
        <v>1089</v>
      </c>
      <c r="B1047">
        <v>1.28E-6</v>
      </c>
    </row>
    <row r="1048" spans="1:2" x14ac:dyDescent="0.25">
      <c r="A1048" t="s">
        <v>1090</v>
      </c>
      <c r="B1048">
        <v>0.1198</v>
      </c>
    </row>
    <row r="1049" spans="1:2" x14ac:dyDescent="0.25">
      <c r="A1049" t="s">
        <v>1091</v>
      </c>
      <c r="B1049">
        <v>0</v>
      </c>
    </row>
    <row r="1050" spans="1:2" x14ac:dyDescent="0.25">
      <c r="A1050" t="s">
        <v>1092</v>
      </c>
      <c r="B1050">
        <v>2.4500000000000001E-2</v>
      </c>
    </row>
    <row r="1051" spans="1:2" x14ac:dyDescent="0.25">
      <c r="A1051" t="s">
        <v>1093</v>
      </c>
      <c r="B1051">
        <v>5.21E-2</v>
      </c>
    </row>
    <row r="1052" spans="1:2" x14ac:dyDescent="0.25">
      <c r="A1052" t="s">
        <v>1094</v>
      </c>
      <c r="B1052">
        <v>3.9120000000000002E-4</v>
      </c>
    </row>
    <row r="1053" spans="1:2" x14ac:dyDescent="0.25">
      <c r="A1053" t="s">
        <v>1095</v>
      </c>
      <c r="B1053">
        <v>38.99</v>
      </c>
    </row>
    <row r="1054" spans="1:2" x14ac:dyDescent="0.25">
      <c r="A1054" t="s">
        <v>1096</v>
      </c>
      <c r="B1054">
        <v>36.72</v>
      </c>
    </row>
    <row r="1055" spans="1:2" x14ac:dyDescent="0.25">
      <c r="A1055" t="s">
        <v>1097</v>
      </c>
      <c r="B1055">
        <v>2.3570000000000001E-4</v>
      </c>
    </row>
    <row r="1056" spans="1:2" x14ac:dyDescent="0.25">
      <c r="A1056" t="s">
        <v>1098</v>
      </c>
      <c r="B1056">
        <v>4.67</v>
      </c>
    </row>
    <row r="1057" spans="1:2" x14ac:dyDescent="0.25">
      <c r="A1057" t="s">
        <v>1099</v>
      </c>
      <c r="B1057">
        <v>6.0280000000000002E-4</v>
      </c>
    </row>
    <row r="1058" spans="1:2" x14ac:dyDescent="0.25">
      <c r="A1058" t="s">
        <v>1100</v>
      </c>
      <c r="B1058">
        <v>1.536E-3</v>
      </c>
    </row>
    <row r="1059" spans="1:2" x14ac:dyDescent="0.25">
      <c r="A1059" t="s">
        <v>1101</v>
      </c>
      <c r="B1059">
        <v>0</v>
      </c>
    </row>
    <row r="1060" spans="1:2" x14ac:dyDescent="0.25">
      <c r="A1060" t="s">
        <v>1102</v>
      </c>
      <c r="B1060">
        <v>0</v>
      </c>
    </row>
    <row r="1061" spans="1:2" x14ac:dyDescent="0.25">
      <c r="A1061" t="s">
        <v>1103</v>
      </c>
      <c r="B1061">
        <v>0</v>
      </c>
    </row>
    <row r="1062" spans="1:2" x14ac:dyDescent="0.25">
      <c r="A1062" t="s">
        <v>1104</v>
      </c>
      <c r="B1062">
        <v>7.8000000000000005E-7</v>
      </c>
    </row>
    <row r="1063" spans="1:2" x14ac:dyDescent="0.25">
      <c r="A1063" t="s">
        <v>1105</v>
      </c>
      <c r="B1063">
        <v>0</v>
      </c>
    </row>
    <row r="1064" spans="1:2" x14ac:dyDescent="0.25">
      <c r="A1064" t="s">
        <v>1106</v>
      </c>
      <c r="B1064">
        <v>7.2999999999999995E-2</v>
      </c>
    </row>
    <row r="1065" spans="1:2" x14ac:dyDescent="0.25">
      <c r="A1065" t="s">
        <v>1107</v>
      </c>
      <c r="B1065">
        <v>5.7100000000000004E-6</v>
      </c>
    </row>
    <row r="1066" spans="1:2" x14ac:dyDescent="0.25">
      <c r="A1066" t="s">
        <v>1108</v>
      </c>
      <c r="B1066">
        <v>1.64E-4</v>
      </c>
    </row>
    <row r="1067" spans="1:2" x14ac:dyDescent="0.25">
      <c r="A1067" t="s">
        <v>1109</v>
      </c>
      <c r="B1067">
        <v>3.6080000000000001E-3</v>
      </c>
    </row>
    <row r="1068" spans="1:2" x14ac:dyDescent="0.25">
      <c r="A1068" t="s">
        <v>1110</v>
      </c>
      <c r="B1068">
        <v>1.54</v>
      </c>
    </row>
    <row r="1069" spans="1:2" x14ac:dyDescent="0.25">
      <c r="A1069" t="s">
        <v>1111</v>
      </c>
      <c r="B1069">
        <v>0</v>
      </c>
    </row>
    <row r="1070" spans="1:2" x14ac:dyDescent="0.25">
      <c r="A1070" t="s">
        <v>1112</v>
      </c>
      <c r="B1070">
        <v>0</v>
      </c>
    </row>
    <row r="1071" spans="1:2" x14ac:dyDescent="0.25">
      <c r="A1071" t="s">
        <v>1113</v>
      </c>
      <c r="B1071">
        <v>0</v>
      </c>
    </row>
    <row r="1072" spans="1:2" x14ac:dyDescent="0.25">
      <c r="A1072" t="s">
        <v>1114</v>
      </c>
      <c r="B1072">
        <v>1.5860000000000001E-5</v>
      </c>
    </row>
    <row r="1073" spans="1:2" x14ac:dyDescent="0.25">
      <c r="A1073" t="s">
        <v>1115</v>
      </c>
      <c r="B1073">
        <v>1.0529999999999999</v>
      </c>
    </row>
    <row r="1074" spans="1:2" x14ac:dyDescent="0.25">
      <c r="A1074" t="s">
        <v>1116</v>
      </c>
      <c r="B1074">
        <v>0</v>
      </c>
    </row>
    <row r="1075" spans="1:2" x14ac:dyDescent="0.25">
      <c r="A1075" t="s">
        <v>1117</v>
      </c>
      <c r="B1075">
        <v>13.012</v>
      </c>
    </row>
    <row r="1076" spans="1:2" x14ac:dyDescent="0.25">
      <c r="A1076" t="s">
        <v>1118</v>
      </c>
      <c r="B1076">
        <v>4.4999999999999998E-7</v>
      </c>
    </row>
    <row r="1077" spans="1:2" x14ac:dyDescent="0.25">
      <c r="A1077" t="s">
        <v>1119</v>
      </c>
      <c r="B1077">
        <v>9.2310000000000003E-2</v>
      </c>
    </row>
    <row r="1078" spans="1:2" x14ac:dyDescent="0.25">
      <c r="A1078" t="s">
        <v>1120</v>
      </c>
      <c r="B1078">
        <v>1.3559999999999999E-2</v>
      </c>
    </row>
    <row r="1079" spans="1:2" x14ac:dyDescent="0.25">
      <c r="A1079" t="s">
        <v>1121</v>
      </c>
      <c r="B1079">
        <v>1.021E-4</v>
      </c>
    </row>
    <row r="1080" spans="1:2" x14ac:dyDescent="0.25">
      <c r="A1080" t="s">
        <v>1122</v>
      </c>
      <c r="B1080">
        <v>7.03</v>
      </c>
    </row>
    <row r="1081" spans="1:2" x14ac:dyDescent="0.25">
      <c r="A1081" t="s">
        <v>1123</v>
      </c>
      <c r="B1081">
        <v>9.59</v>
      </c>
    </row>
    <row r="1082" spans="1:2" x14ac:dyDescent="0.25">
      <c r="A1082" t="s">
        <v>1124</v>
      </c>
      <c r="B1082">
        <v>2.99E-4</v>
      </c>
    </row>
    <row r="1083" spans="1:2" x14ac:dyDescent="0.25">
      <c r="A1083" t="s">
        <v>1125</v>
      </c>
      <c r="B1083">
        <v>8.9999999999999996E-7</v>
      </c>
    </row>
    <row r="1084" spans="1:2" x14ac:dyDescent="0.25">
      <c r="A1084" t="s">
        <v>1126</v>
      </c>
      <c r="B1084">
        <v>7.7100000000000002E-2</v>
      </c>
    </row>
    <row r="1085" spans="1:2" x14ac:dyDescent="0.25">
      <c r="A1085" t="s">
        <v>1127</v>
      </c>
      <c r="B1085">
        <v>8.4699999999999998E-2</v>
      </c>
    </row>
    <row r="1086" spans="1:2" x14ac:dyDescent="0.25">
      <c r="A1086" t="s">
        <v>1128</v>
      </c>
      <c r="B1086">
        <v>3.4999999999999998E-7</v>
      </c>
    </row>
    <row r="1087" spans="1:2" x14ac:dyDescent="0.25">
      <c r="A1087" t="s">
        <v>1129</v>
      </c>
      <c r="B1087">
        <v>2.3050000000000001E-2</v>
      </c>
    </row>
    <row r="1088" spans="1:2" x14ac:dyDescent="0.25">
      <c r="A1088" t="s">
        <v>1130</v>
      </c>
      <c r="B1088">
        <v>0.1517</v>
      </c>
    </row>
    <row r="1089" spans="1:2" x14ac:dyDescent="0.25">
      <c r="A1089" t="s">
        <v>1131</v>
      </c>
      <c r="B1089">
        <v>583602</v>
      </c>
    </row>
    <row r="1090" spans="1:2" x14ac:dyDescent="0.25">
      <c r="A1090" t="s">
        <v>1132</v>
      </c>
      <c r="B1090">
        <v>6.21</v>
      </c>
    </row>
    <row r="1091" spans="1:2" x14ac:dyDescent="0.25">
      <c r="A1091" t="s">
        <v>1133</v>
      </c>
      <c r="B1091">
        <v>3.509E-3</v>
      </c>
    </row>
    <row r="1092" spans="1:2" x14ac:dyDescent="0.25">
      <c r="A1092" t="s">
        <v>1134</v>
      </c>
      <c r="B1092">
        <v>9.7159999999999996E-2</v>
      </c>
    </row>
    <row r="1093" spans="1:2" x14ac:dyDescent="0.25">
      <c r="A1093" t="s">
        <v>1135</v>
      </c>
      <c r="B1093">
        <v>93</v>
      </c>
    </row>
    <row r="1094" spans="1:2" x14ac:dyDescent="0.25">
      <c r="A1094" t="s">
        <v>1136</v>
      </c>
      <c r="B1094">
        <v>329.59</v>
      </c>
    </row>
    <row r="1095" spans="1:2" x14ac:dyDescent="0.25">
      <c r="A1095" t="s">
        <v>1137</v>
      </c>
      <c r="B1095">
        <v>0</v>
      </c>
    </row>
    <row r="1096" spans="1:2" x14ac:dyDescent="0.25">
      <c r="A1096" t="s">
        <v>1138</v>
      </c>
      <c r="B1096">
        <v>7.2519999999999998E-3</v>
      </c>
    </row>
    <row r="1097" spans="1:2" x14ac:dyDescent="0.25">
      <c r="A1097" t="s">
        <v>1139</v>
      </c>
      <c r="B1097">
        <v>5.4610000000000001E-5</v>
      </c>
    </row>
    <row r="1098" spans="1:2" x14ac:dyDescent="0.25">
      <c r="A1098" t="s">
        <v>1140</v>
      </c>
      <c r="B1098">
        <v>2.2490000000000001</v>
      </c>
    </row>
    <row r="1099" spans="1:2" x14ac:dyDescent="0.25">
      <c r="A1099" t="s">
        <v>1141</v>
      </c>
      <c r="B1099">
        <v>5.1280000000000001</v>
      </c>
    </row>
    <row r="1100" spans="1:2" x14ac:dyDescent="0.25">
      <c r="A1100" t="s">
        <v>1142</v>
      </c>
      <c r="B1100">
        <v>0</v>
      </c>
    </row>
    <row r="1101" spans="1:2" x14ac:dyDescent="0.25">
      <c r="A1101" t="s">
        <v>1143</v>
      </c>
      <c r="B1101">
        <v>0</v>
      </c>
    </row>
    <row r="1102" spans="1:2" x14ac:dyDescent="0.25">
      <c r="A1102" t="s">
        <v>1144</v>
      </c>
      <c r="B1102">
        <v>0</v>
      </c>
    </row>
    <row r="1103" spans="1:2" x14ac:dyDescent="0.25">
      <c r="A1103" t="s">
        <v>1145</v>
      </c>
      <c r="B1103">
        <v>0</v>
      </c>
    </row>
    <row r="1104" spans="1:2" x14ac:dyDescent="0.25">
      <c r="A1104" t="s">
        <v>1146</v>
      </c>
      <c r="B1104">
        <v>6.5599999999999999E-3</v>
      </c>
    </row>
    <row r="1105" spans="1:2" x14ac:dyDescent="0.25">
      <c r="A1105" t="s">
        <v>1147</v>
      </c>
      <c r="B1105">
        <v>5.3399999999999997E-5</v>
      </c>
    </row>
    <row r="1106" spans="1:2" x14ac:dyDescent="0.25">
      <c r="A1106" t="s">
        <v>1148</v>
      </c>
      <c r="B1106">
        <v>4.5540000000000003</v>
      </c>
    </row>
    <row r="1107" spans="1:2" x14ac:dyDescent="0.25">
      <c r="A1107" t="s">
        <v>1149</v>
      </c>
      <c r="B1107">
        <v>5.0129999999999999</v>
      </c>
    </row>
    <row r="1108" spans="1:2" x14ac:dyDescent="0.25">
      <c r="A1108" t="s">
        <v>1150</v>
      </c>
      <c r="B1108">
        <v>0</v>
      </c>
    </row>
    <row r="1109" spans="1:2" x14ac:dyDescent="0.25">
      <c r="A1109" t="s">
        <v>1151</v>
      </c>
      <c r="B1109">
        <v>0</v>
      </c>
    </row>
    <row r="1110" spans="1:2" x14ac:dyDescent="0.25">
      <c r="A1110" t="s">
        <v>1152</v>
      </c>
      <c r="B1110">
        <v>0</v>
      </c>
    </row>
    <row r="1111" spans="1:2" x14ac:dyDescent="0.25">
      <c r="A1111" t="s">
        <v>1153</v>
      </c>
      <c r="B1111">
        <v>0</v>
      </c>
    </row>
    <row r="1112" spans="1:2" x14ac:dyDescent="0.25">
      <c r="A1112" t="s">
        <v>1154</v>
      </c>
      <c r="B1112">
        <v>2.8930000000000001E-2</v>
      </c>
    </row>
    <row r="1113" spans="1:2" x14ac:dyDescent="0.25">
      <c r="A1113" t="s">
        <v>1155</v>
      </c>
      <c r="B1113">
        <v>2.1800000000000001E-4</v>
      </c>
    </row>
    <row r="1114" spans="1:2" x14ac:dyDescent="0.25">
      <c r="A1114" t="s">
        <v>1156</v>
      </c>
      <c r="B1114">
        <v>25.463999999999999</v>
      </c>
    </row>
    <row r="1115" spans="1:2" x14ac:dyDescent="0.25">
      <c r="A1115" t="s">
        <v>1157</v>
      </c>
      <c r="B1115">
        <v>20.47</v>
      </c>
    </row>
    <row r="1116" spans="1:2" x14ac:dyDescent="0.25">
      <c r="A1116" t="s">
        <v>1158</v>
      </c>
      <c r="B1116">
        <v>2.57E-6</v>
      </c>
    </row>
    <row r="1117" spans="1:2" x14ac:dyDescent="0.25">
      <c r="A1117" t="s">
        <v>1159</v>
      </c>
      <c r="B1117">
        <v>0.1003</v>
      </c>
    </row>
    <row r="1118" spans="1:2" x14ac:dyDescent="0.25">
      <c r="A1118" t="s">
        <v>1160</v>
      </c>
      <c r="B1118">
        <v>20.14</v>
      </c>
    </row>
    <row r="1119" spans="1:2" x14ac:dyDescent="0.25">
      <c r="A1119" t="s">
        <v>1161</v>
      </c>
      <c r="B1119">
        <v>1.5049999999999999E-2</v>
      </c>
    </row>
    <row r="1120" spans="1:2" x14ac:dyDescent="0.25">
      <c r="A1120" t="s">
        <v>1162</v>
      </c>
      <c r="B1120">
        <v>0</v>
      </c>
    </row>
    <row r="1121" spans="1:2" x14ac:dyDescent="0.25">
      <c r="A1121" t="s">
        <v>1163</v>
      </c>
      <c r="B1121">
        <v>1.6899999999999999E-6</v>
      </c>
    </row>
    <row r="1122" spans="1:2" x14ac:dyDescent="0.25">
      <c r="A1122" t="s">
        <v>1164</v>
      </c>
      <c r="B1122">
        <v>0.1527</v>
      </c>
    </row>
    <row r="1123" spans="1:2" x14ac:dyDescent="0.25">
      <c r="A1123" t="s">
        <v>1165</v>
      </c>
      <c r="B1123">
        <v>0.15920000000000001</v>
      </c>
    </row>
    <row r="1124" spans="1:2" x14ac:dyDescent="0.25">
      <c r="A1124" t="s">
        <v>1166</v>
      </c>
      <c r="B1124">
        <v>1.1590000000000001E-3</v>
      </c>
    </row>
    <row r="1125" spans="1:2" x14ac:dyDescent="0.25">
      <c r="A1125" t="s">
        <v>1167</v>
      </c>
      <c r="B1125">
        <v>8.6600000000000001E-6</v>
      </c>
    </row>
    <row r="1126" spans="1:2" x14ac:dyDescent="0.25">
      <c r="A1126" t="s">
        <v>1168</v>
      </c>
      <c r="B1126">
        <v>0.53400000000000003</v>
      </c>
    </row>
    <row r="1127" spans="1:2" x14ac:dyDescent="0.25">
      <c r="A1127" t="s">
        <v>1169</v>
      </c>
      <c r="B1127">
        <v>0.81279999999999997</v>
      </c>
    </row>
    <row r="1128" spans="1:2" x14ac:dyDescent="0.25">
      <c r="A1128" t="s">
        <v>1170</v>
      </c>
      <c r="B1128">
        <v>0</v>
      </c>
    </row>
    <row r="1129" spans="1:2" x14ac:dyDescent="0.25">
      <c r="A1129" t="s">
        <v>1171</v>
      </c>
      <c r="B1129">
        <v>0</v>
      </c>
    </row>
    <row r="1130" spans="1:2" x14ac:dyDescent="0.25">
      <c r="A1130" t="s">
        <v>1172</v>
      </c>
      <c r="B1130">
        <v>0</v>
      </c>
    </row>
    <row r="1131" spans="1:2" x14ac:dyDescent="0.25">
      <c r="A1131" t="s">
        <v>1173</v>
      </c>
      <c r="B1131">
        <v>0</v>
      </c>
    </row>
    <row r="1132" spans="1:2" x14ac:dyDescent="0.25">
      <c r="A1132" t="s">
        <v>1174</v>
      </c>
      <c r="B1132">
        <v>21073.87</v>
      </c>
    </row>
    <row r="1133" spans="1:2" x14ac:dyDescent="0.25">
      <c r="A1133" t="s">
        <v>1175</v>
      </c>
      <c r="B1133">
        <v>6.5549999999999997</v>
      </c>
    </row>
    <row r="1134" spans="1:2" x14ac:dyDescent="0.25">
      <c r="A1134" t="s">
        <v>1176</v>
      </c>
      <c r="B1134">
        <v>0</v>
      </c>
    </row>
    <row r="1135" spans="1:2" x14ac:dyDescent="0.25">
      <c r="A1135" t="s">
        <v>1177</v>
      </c>
      <c r="B1135">
        <v>9.810000000000001E-4</v>
      </c>
    </row>
    <row r="1136" spans="1:2" x14ac:dyDescent="0.25">
      <c r="A1136" t="s">
        <v>1178</v>
      </c>
      <c r="B1136">
        <v>0.20250000000000001</v>
      </c>
    </row>
    <row r="1137" spans="1:2" x14ac:dyDescent="0.25">
      <c r="A1137" t="s">
        <v>1179</v>
      </c>
      <c r="B1137">
        <v>45.39</v>
      </c>
    </row>
    <row r="1138" spans="1:2" x14ac:dyDescent="0.25">
      <c r="A1138" t="s">
        <v>1180</v>
      </c>
      <c r="B1138">
        <v>8.94E-3</v>
      </c>
    </row>
    <row r="1139" spans="1:2" x14ac:dyDescent="0.25">
      <c r="A1139" t="s">
        <v>1181</v>
      </c>
      <c r="B1139">
        <v>6.7299999999999996E-5</v>
      </c>
    </row>
    <row r="1140" spans="1:2" x14ac:dyDescent="0.25">
      <c r="A1140" t="s">
        <v>1182</v>
      </c>
      <c r="B1140">
        <v>5.88</v>
      </c>
    </row>
    <row r="1141" spans="1:2" x14ac:dyDescent="0.25">
      <c r="A1141" t="s">
        <v>1183</v>
      </c>
      <c r="B1141">
        <v>6.3209999999999997</v>
      </c>
    </row>
    <row r="1142" spans="1:2" x14ac:dyDescent="0.25">
      <c r="A1142" t="s">
        <v>1184</v>
      </c>
      <c r="B1142">
        <v>5.9199999999999997E-4</v>
      </c>
    </row>
    <row r="1143" spans="1:2" x14ac:dyDescent="0.25">
      <c r="A1143" t="s">
        <v>1185</v>
      </c>
      <c r="B1143">
        <v>3.18E-6</v>
      </c>
    </row>
    <row r="1144" spans="1:2" x14ac:dyDescent="0.25">
      <c r="A1144" t="s">
        <v>1186</v>
      </c>
      <c r="B1144">
        <v>0.1091</v>
      </c>
    </row>
    <row r="1145" spans="1:2" x14ac:dyDescent="0.25">
      <c r="A1145" t="s">
        <v>1187</v>
      </c>
      <c r="B1145">
        <v>0.13780000000000001</v>
      </c>
    </row>
    <row r="1146" spans="1:2" x14ac:dyDescent="0.25">
      <c r="A1146" t="s">
        <v>1188</v>
      </c>
      <c r="B1146">
        <v>4397</v>
      </c>
    </row>
    <row r="1147" spans="1:2" x14ac:dyDescent="0.25">
      <c r="A1147" t="s">
        <v>1189</v>
      </c>
      <c r="B1147">
        <v>96.89</v>
      </c>
    </row>
    <row r="1148" spans="1:2" x14ac:dyDescent="0.25">
      <c r="A1148" t="s">
        <v>1190</v>
      </c>
      <c r="B1148">
        <v>0</v>
      </c>
    </row>
    <row r="1149" spans="1:2" x14ac:dyDescent="0.25">
      <c r="A1149" t="s">
        <v>1191</v>
      </c>
      <c r="B1149">
        <v>0</v>
      </c>
    </row>
    <row r="1150" spans="1:2" x14ac:dyDescent="0.25">
      <c r="A1150" t="s">
        <v>1192</v>
      </c>
      <c r="B1150">
        <v>3.5999999999999997E-2</v>
      </c>
    </row>
    <row r="1151" spans="1:2" x14ac:dyDescent="0.25">
      <c r="A1151" t="s">
        <v>1193</v>
      </c>
      <c r="B1151">
        <v>3.5999999999999997E-2</v>
      </c>
    </row>
    <row r="1152" spans="1:2" x14ac:dyDescent="0.25">
      <c r="A1152" t="s">
        <v>1194</v>
      </c>
      <c r="B1152">
        <v>1.11E-6</v>
      </c>
    </row>
    <row r="1153" spans="1:2" x14ac:dyDescent="0.25">
      <c r="A1153" t="s">
        <v>1195</v>
      </c>
      <c r="B1153">
        <v>0.83040000000000003</v>
      </c>
    </row>
    <row r="1154" spans="1:2" x14ac:dyDescent="0.25">
      <c r="A1154" t="s">
        <v>1196</v>
      </c>
      <c r="B1154">
        <v>0</v>
      </c>
    </row>
    <row r="1155" spans="1:2" x14ac:dyDescent="0.25">
      <c r="A1155" t="s">
        <v>1197</v>
      </c>
      <c r="B1155">
        <v>3.2000000000000003E-4</v>
      </c>
    </row>
    <row r="1156" spans="1:2" x14ac:dyDescent="0.25">
      <c r="A1156" t="s">
        <v>1198</v>
      </c>
      <c r="B1156">
        <v>0.34300000000000003</v>
      </c>
    </row>
    <row r="1157" spans="1:2" x14ac:dyDescent="0.25">
      <c r="A1157" t="s">
        <v>1199</v>
      </c>
      <c r="B1157">
        <v>7.8000000000000005E-7</v>
      </c>
    </row>
    <row r="1158" spans="1:2" x14ac:dyDescent="0.25">
      <c r="A1158" t="s">
        <v>1200</v>
      </c>
      <c r="B1158">
        <v>3.188E-4</v>
      </c>
    </row>
    <row r="1159" spans="1:2" x14ac:dyDescent="0.25">
      <c r="A1159" t="s">
        <v>1201</v>
      </c>
      <c r="B1159">
        <v>0.47099999999999997</v>
      </c>
    </row>
    <row r="1160" spans="1:2" x14ac:dyDescent="0.25">
      <c r="A1160" t="s">
        <v>1202</v>
      </c>
      <c r="B1160">
        <v>7.3429999999999995E-2</v>
      </c>
    </row>
    <row r="1161" spans="1:2" x14ac:dyDescent="0.25">
      <c r="A1161" t="s">
        <v>1203</v>
      </c>
      <c r="B1161">
        <v>5.9999999999999995E-8</v>
      </c>
    </row>
    <row r="1162" spans="1:2" x14ac:dyDescent="0.25">
      <c r="A1162" t="s">
        <v>1204</v>
      </c>
      <c r="B1162">
        <v>1.703E-2</v>
      </c>
    </row>
    <row r="1163" spans="1:2" x14ac:dyDescent="0.25">
      <c r="A1163" t="s">
        <v>1205</v>
      </c>
      <c r="B1163">
        <v>0</v>
      </c>
    </row>
    <row r="1164" spans="1:2" x14ac:dyDescent="0.25">
      <c r="A1164" t="s">
        <v>1206</v>
      </c>
      <c r="B1164">
        <v>1.8499999999999999E-5</v>
      </c>
    </row>
    <row r="1165" spans="1:2" x14ac:dyDescent="0.25">
      <c r="A1165" t="s">
        <v>1207</v>
      </c>
      <c r="B1165">
        <v>7.8150000000000004</v>
      </c>
    </row>
    <row r="1166" spans="1:2" x14ac:dyDescent="0.25">
      <c r="A1166" t="s">
        <v>1208</v>
      </c>
      <c r="B1166">
        <v>1.341</v>
      </c>
    </row>
    <row r="1167" spans="1:2" x14ac:dyDescent="0.25">
      <c r="A1167" t="s">
        <v>1209</v>
      </c>
      <c r="B1167">
        <v>0</v>
      </c>
    </row>
    <row r="1168" spans="1:2" x14ac:dyDescent="0.25">
      <c r="A1168" t="s">
        <v>1210</v>
      </c>
      <c r="B1168">
        <v>0.3322</v>
      </c>
    </row>
    <row r="1169" spans="1:2" x14ac:dyDescent="0.25">
      <c r="A1169" t="s">
        <v>1211</v>
      </c>
      <c r="B1169">
        <v>0</v>
      </c>
    </row>
    <row r="1170" spans="1:2" x14ac:dyDescent="0.25">
      <c r="A1170" t="s">
        <v>1212</v>
      </c>
      <c r="B1170">
        <v>9.4E-7</v>
      </c>
    </row>
    <row r="1171" spans="1:2" x14ac:dyDescent="0.25">
      <c r="A1171" t="s">
        <v>1213</v>
      </c>
      <c r="B1171">
        <v>6.8260000000000001E-2</v>
      </c>
    </row>
    <row r="1172" spans="1:2" x14ac:dyDescent="0.25">
      <c r="A1172" t="s">
        <v>1214</v>
      </c>
      <c r="B1172">
        <v>8.7690000000000004E-2</v>
      </c>
    </row>
    <row r="1173" spans="1:2" x14ac:dyDescent="0.25">
      <c r="A1173" t="s">
        <v>1215</v>
      </c>
      <c r="B1173">
        <v>1298.7</v>
      </c>
    </row>
    <row r="1174" spans="1:2" x14ac:dyDescent="0.25">
      <c r="A1174" t="s">
        <v>1216</v>
      </c>
      <c r="B1174">
        <v>4.9909999999999997</v>
      </c>
    </row>
    <row r="1175" spans="1:2" x14ac:dyDescent="0.25">
      <c r="A1175" t="s">
        <v>1217</v>
      </c>
      <c r="B1175">
        <v>1.4177</v>
      </c>
    </row>
    <row r="1176" spans="1:2" x14ac:dyDescent="0.25">
      <c r="A1176" t="s">
        <v>1218</v>
      </c>
      <c r="B1176">
        <v>8.1799999999999998E-2</v>
      </c>
    </row>
    <row r="1177" spans="1:2" x14ac:dyDescent="0.25">
      <c r="A1177" t="s">
        <v>1219</v>
      </c>
      <c r="B1177">
        <v>1.5959999999999998E-2</v>
      </c>
    </row>
    <row r="1178" spans="1:2" x14ac:dyDescent="0.25">
      <c r="A1178" t="s">
        <v>1220</v>
      </c>
      <c r="B1178">
        <v>0</v>
      </c>
    </row>
    <row r="1179" spans="1:2" x14ac:dyDescent="0.25">
      <c r="A1179" t="s">
        <v>1221</v>
      </c>
      <c r="B1179">
        <v>0</v>
      </c>
    </row>
    <row r="1180" spans="1:2" x14ac:dyDescent="0.25">
      <c r="A1180" t="s">
        <v>1222</v>
      </c>
      <c r="B1180">
        <v>0</v>
      </c>
    </row>
    <row r="1181" spans="1:2" x14ac:dyDescent="0.25">
      <c r="A1181" t="s">
        <v>1223</v>
      </c>
      <c r="B1181">
        <v>0</v>
      </c>
    </row>
    <row r="1182" spans="1:2" x14ac:dyDescent="0.25">
      <c r="A1182" t="s">
        <v>1224</v>
      </c>
      <c r="B1182">
        <v>1.443E-2</v>
      </c>
    </row>
    <row r="1183" spans="1:2" x14ac:dyDescent="0.25">
      <c r="A1183" t="s">
        <v>1225</v>
      </c>
      <c r="B1183">
        <v>4.4240000000000004</v>
      </c>
    </row>
    <row r="1184" spans="1:2" x14ac:dyDescent="0.25">
      <c r="A1184" t="s">
        <v>1226</v>
      </c>
      <c r="B1184">
        <v>12.978</v>
      </c>
    </row>
    <row r="1185" spans="1:2" x14ac:dyDescent="0.25">
      <c r="A1185" t="s">
        <v>1227</v>
      </c>
      <c r="B1185">
        <v>0</v>
      </c>
    </row>
    <row r="1186" spans="1:2" x14ac:dyDescent="0.25">
      <c r="A1186" t="s">
        <v>1228</v>
      </c>
      <c r="B1186">
        <v>5.3000000000000001E-7</v>
      </c>
    </row>
    <row r="1187" spans="1:2" x14ac:dyDescent="0.25">
      <c r="A1187" t="s">
        <v>1229</v>
      </c>
      <c r="B1187">
        <v>2.1499999999999998E-2</v>
      </c>
    </row>
    <row r="1188" spans="1:2" x14ac:dyDescent="0.25">
      <c r="A1188" t="s">
        <v>1230</v>
      </c>
      <c r="B1188">
        <v>5.006E-2</v>
      </c>
    </row>
    <row r="1189" spans="1:2" x14ac:dyDescent="0.25">
      <c r="A1189" t="s">
        <v>1231</v>
      </c>
      <c r="B1189">
        <v>431.1</v>
      </c>
    </row>
    <row r="1190" spans="1:2" x14ac:dyDescent="0.25">
      <c r="A1190" t="s">
        <v>1232</v>
      </c>
      <c r="B1190">
        <v>4835</v>
      </c>
    </row>
    <row r="1191" spans="1:2" x14ac:dyDescent="0.25">
      <c r="A1191" t="s">
        <v>1233</v>
      </c>
      <c r="B1191">
        <v>253.4</v>
      </c>
    </row>
    <row r="1192" spans="1:2" x14ac:dyDescent="0.25">
      <c r="A1192" t="s">
        <v>1234</v>
      </c>
      <c r="B1192">
        <v>0</v>
      </c>
    </row>
    <row r="1193" spans="1:2" x14ac:dyDescent="0.25">
      <c r="A1193" t="s">
        <v>1235</v>
      </c>
      <c r="B1193">
        <v>0</v>
      </c>
    </row>
    <row r="1194" spans="1:2" x14ac:dyDescent="0.25">
      <c r="A1194" t="s">
        <v>1236</v>
      </c>
      <c r="B1194">
        <v>0</v>
      </c>
    </row>
    <row r="1195" spans="1:2" x14ac:dyDescent="0.25">
      <c r="A1195" t="s">
        <v>1237</v>
      </c>
      <c r="B1195">
        <v>0</v>
      </c>
    </row>
    <row r="1196" spans="1:2" x14ac:dyDescent="0.25">
      <c r="A1196" t="s">
        <v>1238</v>
      </c>
      <c r="B1196">
        <v>0</v>
      </c>
    </row>
    <row r="1197" spans="1:2" x14ac:dyDescent="0.25">
      <c r="A1197" t="s">
        <v>1239</v>
      </c>
      <c r="B1197">
        <v>3.8999999999999999E-6</v>
      </c>
    </row>
    <row r="1198" spans="1:2" x14ac:dyDescent="0.25">
      <c r="A1198" t="s">
        <v>1240</v>
      </c>
      <c r="B1198">
        <v>1.5019999999999999E-4</v>
      </c>
    </row>
    <row r="1199" spans="1:2" x14ac:dyDescent="0.25">
      <c r="A1199" t="s">
        <v>1241</v>
      </c>
      <c r="B1199">
        <v>8.1749999999999998E-4</v>
      </c>
    </row>
    <row r="1200" spans="1:2" x14ac:dyDescent="0.25">
      <c r="A1200" t="s">
        <v>1242</v>
      </c>
      <c r="B1200">
        <v>0.95699999999999996</v>
      </c>
    </row>
    <row r="1201" spans="1:2" x14ac:dyDescent="0.25">
      <c r="A1201" t="s">
        <v>1243</v>
      </c>
      <c r="B1201">
        <v>0</v>
      </c>
    </row>
    <row r="1202" spans="1:2" x14ac:dyDescent="0.25">
      <c r="A1202" t="s">
        <v>1244</v>
      </c>
      <c r="B1202">
        <v>0</v>
      </c>
    </row>
    <row r="1203" spans="1:2" x14ac:dyDescent="0.25">
      <c r="A1203" t="s">
        <v>1245</v>
      </c>
      <c r="B1203">
        <v>0</v>
      </c>
    </row>
    <row r="1204" spans="1:2" x14ac:dyDescent="0.25">
      <c r="A1204" t="s">
        <v>1246</v>
      </c>
      <c r="B1204">
        <v>0</v>
      </c>
    </row>
    <row r="1205" spans="1:2" x14ac:dyDescent="0.25">
      <c r="A1205" t="s">
        <v>1247</v>
      </c>
      <c r="B1205">
        <v>130.63999999999999</v>
      </c>
    </row>
    <row r="1206" spans="1:2" x14ac:dyDescent="0.25">
      <c r="A1206" t="s">
        <v>1248</v>
      </c>
      <c r="B1206">
        <v>0</v>
      </c>
    </row>
    <row r="1207" spans="1:2" x14ac:dyDescent="0.25">
      <c r="A1207" t="s">
        <v>1249</v>
      </c>
      <c r="B1207">
        <v>6383.1</v>
      </c>
    </row>
    <row r="1208" spans="1:2" x14ac:dyDescent="0.25">
      <c r="A1208" t="s">
        <v>1250</v>
      </c>
      <c r="B1208">
        <v>9.0009999999999994</v>
      </c>
    </row>
    <row r="1209" spans="1:2" x14ac:dyDescent="0.25">
      <c r="A1209" t="s">
        <v>1251</v>
      </c>
      <c r="B1209">
        <v>0.32519999999999999</v>
      </c>
    </row>
    <row r="1210" spans="1:2" x14ac:dyDescent="0.25">
      <c r="A1210" t="s">
        <v>1252</v>
      </c>
      <c r="B1210">
        <v>0</v>
      </c>
    </row>
    <row r="1211" spans="1:2" x14ac:dyDescent="0.25">
      <c r="A1211" t="s">
        <v>1253</v>
      </c>
      <c r="B1211">
        <v>3.5999999999999997E-2</v>
      </c>
    </row>
    <row r="1212" spans="1:2" x14ac:dyDescent="0.25">
      <c r="A1212" t="s">
        <v>1254</v>
      </c>
      <c r="B1212">
        <v>2.2299999999999998E-6</v>
      </c>
    </row>
    <row r="1213" spans="1:2" x14ac:dyDescent="0.25">
      <c r="A1213" t="s">
        <v>1255</v>
      </c>
      <c r="B1213">
        <v>6.1580000000000003E-5</v>
      </c>
    </row>
    <row r="1214" spans="1:2" x14ac:dyDescent="0.25">
      <c r="A1214" t="s">
        <v>1256</v>
      </c>
      <c r="B1214">
        <v>0.2084</v>
      </c>
    </row>
    <row r="1215" spans="1:2" x14ac:dyDescent="0.25">
      <c r="A1215" t="s">
        <v>1257</v>
      </c>
      <c r="B1215">
        <v>1.3770000000000001E-4</v>
      </c>
    </row>
    <row r="1216" spans="1:2" x14ac:dyDescent="0.25">
      <c r="A1216" t="s">
        <v>1258</v>
      </c>
      <c r="B1216">
        <v>2.0649999999999999</v>
      </c>
    </row>
    <row r="1217" spans="1:2" x14ac:dyDescent="0.25">
      <c r="A1217" t="s">
        <v>1259</v>
      </c>
      <c r="B1217">
        <v>1.6120000000000001</v>
      </c>
    </row>
    <row r="1218" spans="1:2" x14ac:dyDescent="0.25">
      <c r="A1218" t="s">
        <v>1260</v>
      </c>
      <c r="B1218">
        <v>6.9300000000000004E-5</v>
      </c>
    </row>
    <row r="1219" spans="1:2" x14ac:dyDescent="0.25">
      <c r="A1219" t="s">
        <v>1261</v>
      </c>
      <c r="B1219">
        <v>3.0190000000000001</v>
      </c>
    </row>
    <row r="1220" spans="1:2" x14ac:dyDescent="0.25">
      <c r="A1220" t="s">
        <v>1262</v>
      </c>
      <c r="B1220">
        <v>3.23</v>
      </c>
    </row>
    <row r="1221" spans="1:2" x14ac:dyDescent="0.25">
      <c r="A1221" t="s">
        <v>1263</v>
      </c>
      <c r="B1221">
        <v>0</v>
      </c>
    </row>
    <row r="1222" spans="1:2" x14ac:dyDescent="0.25">
      <c r="A1222" t="s">
        <v>1264</v>
      </c>
      <c r="B1222">
        <v>0</v>
      </c>
    </row>
    <row r="1223" spans="1:2" x14ac:dyDescent="0.25">
      <c r="A1223" t="s">
        <v>1265</v>
      </c>
      <c r="B1223">
        <v>4.2300000000000002E-6</v>
      </c>
    </row>
    <row r="1224" spans="1:2" x14ac:dyDescent="0.25">
      <c r="A1224" t="s">
        <v>1266</v>
      </c>
      <c r="B1224">
        <v>0.3977</v>
      </c>
    </row>
    <row r="1225" spans="1:2" x14ac:dyDescent="0.25">
      <c r="A1225" t="s">
        <v>1267</v>
      </c>
      <c r="B1225">
        <v>0</v>
      </c>
    </row>
    <row r="1226" spans="1:2" x14ac:dyDescent="0.25">
      <c r="A1226" t="s">
        <v>1268</v>
      </c>
      <c r="B1226">
        <v>6.8800000000000003E-4</v>
      </c>
    </row>
    <row r="1227" spans="1:2" x14ac:dyDescent="0.25">
      <c r="A1227" t="s">
        <v>1269</v>
      </c>
      <c r="B1227">
        <v>5.1799999999999999E-5</v>
      </c>
    </row>
    <row r="1228" spans="1:2" x14ac:dyDescent="0.25">
      <c r="A1228" t="s">
        <v>1270</v>
      </c>
      <c r="B1228">
        <v>4.8719999999999999</v>
      </c>
    </row>
    <row r="1229" spans="1:2" x14ac:dyDescent="0.25">
      <c r="A1229" t="s">
        <v>1271</v>
      </c>
      <c r="B1229">
        <v>9.4400000000000004E-5</v>
      </c>
    </row>
    <row r="1230" spans="1:2" x14ac:dyDescent="0.25">
      <c r="A1230" t="s">
        <v>1272</v>
      </c>
      <c r="B1230">
        <v>2.13</v>
      </c>
    </row>
    <row r="1231" spans="1:2" x14ac:dyDescent="0.25">
      <c r="A1231" t="s">
        <v>1273</v>
      </c>
      <c r="B1231">
        <v>1.339E-4</v>
      </c>
    </row>
    <row r="1232" spans="1:2" x14ac:dyDescent="0.25">
      <c r="A1232" t="s">
        <v>1274</v>
      </c>
      <c r="B1232">
        <v>1.998</v>
      </c>
    </row>
    <row r="1233" spans="1:2" x14ac:dyDescent="0.25">
      <c r="A1233" t="s">
        <v>1275</v>
      </c>
      <c r="B1233">
        <v>7.17E-6</v>
      </c>
    </row>
    <row r="1234" spans="1:2" x14ac:dyDescent="0.25">
      <c r="A1234" t="s">
        <v>1276</v>
      </c>
      <c r="B1234">
        <v>0.67359999999999998</v>
      </c>
    </row>
    <row r="1235" spans="1:2" x14ac:dyDescent="0.25">
      <c r="A1235" t="s">
        <v>1277</v>
      </c>
      <c r="B1235">
        <v>1.1200000000000001E-6</v>
      </c>
    </row>
    <row r="1236" spans="1:2" x14ac:dyDescent="0.25">
      <c r="A1236" t="s">
        <v>1278</v>
      </c>
      <c r="B1236">
        <v>0.105</v>
      </c>
    </row>
    <row r="1237" spans="1:2" x14ac:dyDescent="0.25">
      <c r="A1237" t="s">
        <v>1279</v>
      </c>
      <c r="B1237">
        <v>3.0129999999999999</v>
      </c>
    </row>
    <row r="1238" spans="1:2" x14ac:dyDescent="0.25">
      <c r="A1238" t="s">
        <v>1280</v>
      </c>
      <c r="B1238">
        <v>11.97</v>
      </c>
    </row>
    <row r="1239" spans="1:2" x14ac:dyDescent="0.25">
      <c r="A1239" t="s">
        <v>1281</v>
      </c>
      <c r="B1239">
        <v>13.173</v>
      </c>
    </row>
    <row r="1240" spans="1:2" x14ac:dyDescent="0.25">
      <c r="A1240" t="s">
        <v>1282</v>
      </c>
      <c r="B1240">
        <v>0.20039999999999999</v>
      </c>
    </row>
    <row r="1241" spans="1:2" x14ac:dyDescent="0.25">
      <c r="A1241" t="s">
        <v>1283</v>
      </c>
      <c r="B1241">
        <v>3.3100000000000002E-4</v>
      </c>
    </row>
    <row r="1242" spans="1:2" x14ac:dyDescent="0.25">
      <c r="A1242" t="s">
        <v>1284</v>
      </c>
      <c r="B1242">
        <v>1.1599999999999999</v>
      </c>
    </row>
    <row r="1243" spans="1:2" x14ac:dyDescent="0.25">
      <c r="A1243" t="s">
        <v>1285</v>
      </c>
      <c r="B1243">
        <v>5.35</v>
      </c>
    </row>
    <row r="1244" spans="1:2" x14ac:dyDescent="0.25">
      <c r="A1244" t="s">
        <v>1286</v>
      </c>
      <c r="B1244">
        <v>9.5999999999999991E-7</v>
      </c>
    </row>
    <row r="1245" spans="1:2" x14ac:dyDescent="0.25">
      <c r="A1245" t="s">
        <v>1287</v>
      </c>
      <c r="B1245">
        <v>0</v>
      </c>
    </row>
    <row r="1246" spans="1:2" x14ac:dyDescent="0.25">
      <c r="A1246" t="s">
        <v>1288</v>
      </c>
      <c r="B1246">
        <v>9.0399999999999994E-2</v>
      </c>
    </row>
    <row r="1247" spans="1:2" x14ac:dyDescent="0.25">
      <c r="A1247" t="s">
        <v>1289</v>
      </c>
      <c r="B1247">
        <v>1.3780000000000001E-3</v>
      </c>
    </row>
    <row r="1248" spans="1:2" x14ac:dyDescent="0.25">
      <c r="A1248" t="s">
        <v>1290</v>
      </c>
      <c r="B1248">
        <v>2.1</v>
      </c>
    </row>
    <row r="1249" spans="1:2" x14ac:dyDescent="0.25">
      <c r="A1249" t="s">
        <v>1291</v>
      </c>
      <c r="B1249">
        <v>0.76200000000000001</v>
      </c>
    </row>
    <row r="1250" spans="1:2" x14ac:dyDescent="0.25">
      <c r="A1250" t="s">
        <v>1292</v>
      </c>
      <c r="B1250">
        <v>628.4</v>
      </c>
    </row>
    <row r="1251" spans="1:2" x14ac:dyDescent="0.25">
      <c r="A1251" t="s">
        <v>1293</v>
      </c>
      <c r="B1251">
        <v>0.99990000000000001</v>
      </c>
    </row>
    <row r="1252" spans="1:2" x14ac:dyDescent="0.25">
      <c r="A1252" t="s">
        <v>1294</v>
      </c>
      <c r="B1252">
        <v>0.99660000000000004</v>
      </c>
    </row>
    <row r="1253" spans="1:2" x14ac:dyDescent="0.25">
      <c r="A1253" t="s">
        <v>1295</v>
      </c>
      <c r="B1253">
        <v>0</v>
      </c>
    </row>
    <row r="1254" spans="1:2" x14ac:dyDescent="0.25">
      <c r="A1254" t="s">
        <v>1296</v>
      </c>
      <c r="B1254">
        <v>0</v>
      </c>
    </row>
    <row r="1255" spans="1:2" x14ac:dyDescent="0.25">
      <c r="A1255" t="s">
        <v>1297</v>
      </c>
      <c r="B1255">
        <v>2.65E-3</v>
      </c>
    </row>
    <row r="1256" spans="1:2" x14ac:dyDescent="0.25">
      <c r="A1256" t="s">
        <v>1298</v>
      </c>
      <c r="B1256">
        <v>1.1627E-2</v>
      </c>
    </row>
    <row r="1257" spans="1:2" x14ac:dyDescent="0.25">
      <c r="A1257" t="s">
        <v>1299</v>
      </c>
      <c r="B1257">
        <v>1.255E-5</v>
      </c>
    </row>
    <row r="1258" spans="1:2" x14ac:dyDescent="0.25">
      <c r="A1258" t="s">
        <v>1300</v>
      </c>
      <c r="B1258">
        <v>0.79239999999999999</v>
      </c>
    </row>
    <row r="1259" spans="1:2" x14ac:dyDescent="0.25">
      <c r="A1259" t="s">
        <v>1301</v>
      </c>
      <c r="B1259">
        <v>1.1778</v>
      </c>
    </row>
    <row r="1260" spans="1:2" x14ac:dyDescent="0.25">
      <c r="A1260" t="s">
        <v>1302</v>
      </c>
      <c r="B1260">
        <v>2.0049999999999999E-5</v>
      </c>
    </row>
    <row r="1261" spans="1:2" x14ac:dyDescent="0.25">
      <c r="A1261" t="s">
        <v>1303</v>
      </c>
      <c r="B1261">
        <v>0</v>
      </c>
    </row>
    <row r="1262" spans="1:2" x14ac:dyDescent="0.25">
      <c r="A1262" t="s">
        <v>1304</v>
      </c>
      <c r="B1262">
        <v>2.2770000000000001</v>
      </c>
    </row>
    <row r="1263" spans="1:2" x14ac:dyDescent="0.25">
      <c r="A1263" t="s">
        <v>1305</v>
      </c>
      <c r="B1263">
        <v>0.99960000000000004</v>
      </c>
    </row>
    <row r="1264" spans="1:2" x14ac:dyDescent="0.25">
      <c r="A1264" t="s">
        <v>1306</v>
      </c>
      <c r="B1264">
        <v>0.30514000000000002</v>
      </c>
    </row>
    <row r="1265" spans="1:2" x14ac:dyDescent="0.25">
      <c r="A1265" t="s">
        <v>1307</v>
      </c>
      <c r="B1265">
        <v>11.23</v>
      </c>
    </row>
    <row r="1266" spans="1:2" x14ac:dyDescent="0.25">
      <c r="A1266" t="s">
        <v>1308</v>
      </c>
      <c r="B1266">
        <v>9.4490000000000005E-2</v>
      </c>
    </row>
    <row r="1267" spans="1:2" x14ac:dyDescent="0.25">
      <c r="A1267" t="s">
        <v>1309</v>
      </c>
      <c r="B1267">
        <v>1.9733000000000001</v>
      </c>
    </row>
    <row r="1268" spans="1:2" x14ac:dyDescent="0.25">
      <c r="A1268" t="s">
        <v>1310</v>
      </c>
      <c r="B1268">
        <v>0</v>
      </c>
    </row>
    <row r="1269" spans="1:2" x14ac:dyDescent="0.25">
      <c r="A1269" t="s">
        <v>1311</v>
      </c>
      <c r="B1269">
        <v>2.1599999999999999E-4</v>
      </c>
    </row>
    <row r="1270" spans="1:2" x14ac:dyDescent="0.25">
      <c r="A1270" t="s">
        <v>1312</v>
      </c>
      <c r="B1270">
        <v>9.8800000000000003E-6</v>
      </c>
    </row>
    <row r="1271" spans="1:2" x14ac:dyDescent="0.25">
      <c r="A1271" t="s">
        <v>1313</v>
      </c>
      <c r="B1271">
        <v>0.81200000000000006</v>
      </c>
    </row>
    <row r="1272" spans="1:2" x14ac:dyDescent="0.25">
      <c r="A1272" t="s">
        <v>1314</v>
      </c>
      <c r="B1272">
        <v>0.93200000000000005</v>
      </c>
    </row>
    <row r="1273" spans="1:2" x14ac:dyDescent="0.25">
      <c r="A1273" t="s">
        <v>1315</v>
      </c>
      <c r="B1273">
        <v>0</v>
      </c>
    </row>
    <row r="1274" spans="1:2" x14ac:dyDescent="0.25">
      <c r="A1274" t="s">
        <v>1316</v>
      </c>
      <c r="B1274">
        <v>1.0149999999999999</v>
      </c>
    </row>
    <row r="1275" spans="1:2" x14ac:dyDescent="0.25">
      <c r="A1275" t="s">
        <v>1317</v>
      </c>
      <c r="B1275">
        <v>7.7400000000000004E-6</v>
      </c>
    </row>
    <row r="1276" spans="1:2" x14ac:dyDescent="0.25">
      <c r="A1276" t="s">
        <v>1318</v>
      </c>
      <c r="B1276">
        <v>0.59919999999999995</v>
      </c>
    </row>
    <row r="1277" spans="1:2" x14ac:dyDescent="0.25">
      <c r="A1277" t="s">
        <v>1319</v>
      </c>
      <c r="B1277">
        <v>0.72760000000000002</v>
      </c>
    </row>
    <row r="1278" spans="1:2" x14ac:dyDescent="0.25">
      <c r="A1278" t="s">
        <v>1320</v>
      </c>
      <c r="B1278">
        <v>7.7590000000000006E-2</v>
      </c>
    </row>
    <row r="1279" spans="1:2" x14ac:dyDescent="0.25">
      <c r="A1279" t="s">
        <v>1321</v>
      </c>
      <c r="B1279">
        <v>241.5</v>
      </c>
    </row>
    <row r="1280" spans="1:2" x14ac:dyDescent="0.25">
      <c r="A1280" t="s">
        <v>1322</v>
      </c>
      <c r="B1280">
        <v>2.7399999999999999E-5</v>
      </c>
    </row>
    <row r="1281" spans="1:2" x14ac:dyDescent="0.25">
      <c r="A1281" t="s">
        <v>1323</v>
      </c>
      <c r="B1281">
        <v>6.9640000000000004</v>
      </c>
    </row>
    <row r="1282" spans="1:2" x14ac:dyDescent="0.25">
      <c r="A1282" t="s">
        <v>1324</v>
      </c>
      <c r="B1282">
        <v>1.7E-6</v>
      </c>
    </row>
    <row r="1283" spans="1:2" x14ac:dyDescent="0.25">
      <c r="A1283" t="s">
        <v>1325</v>
      </c>
      <c r="B1283">
        <v>0.12330000000000001</v>
      </c>
    </row>
    <row r="1284" spans="1:2" x14ac:dyDescent="0.25">
      <c r="A1284" t="s">
        <v>1326</v>
      </c>
      <c r="B1284">
        <v>0.15959999999999999</v>
      </c>
    </row>
    <row r="1285" spans="1:2" x14ac:dyDescent="0.25">
      <c r="A1285" t="s">
        <v>1327</v>
      </c>
      <c r="B1285">
        <v>1.4049999999999999E-5</v>
      </c>
    </row>
    <row r="1286" spans="1:2" x14ac:dyDescent="0.25">
      <c r="A1286" t="s">
        <v>1328</v>
      </c>
      <c r="B1286">
        <v>0</v>
      </c>
    </row>
    <row r="1287" spans="1:2" x14ac:dyDescent="0.25">
      <c r="A1287" t="s">
        <v>1329</v>
      </c>
      <c r="B1287">
        <v>2.705E-5</v>
      </c>
    </row>
    <row r="1288" spans="1:2" x14ac:dyDescent="0.25">
      <c r="A1288" t="s">
        <v>1330</v>
      </c>
      <c r="B1288">
        <v>2.548</v>
      </c>
    </row>
    <row r="1289" spans="1:2" x14ac:dyDescent="0.25">
      <c r="A1289" t="s">
        <v>1331</v>
      </c>
      <c r="B1289">
        <v>0.1426</v>
      </c>
    </row>
    <row r="1290" spans="1:2" x14ac:dyDescent="0.25">
      <c r="A1290" t="s">
        <v>1332</v>
      </c>
      <c r="B1290">
        <v>1.694E-4</v>
      </c>
    </row>
    <row r="1291" spans="1:2" x14ac:dyDescent="0.25">
      <c r="A1291" t="s">
        <v>1333</v>
      </c>
      <c r="B1291">
        <v>0.20610000000000001</v>
      </c>
    </row>
    <row r="1292" spans="1:2" x14ac:dyDescent="0.25">
      <c r="A1292" t="s">
        <v>1334</v>
      </c>
      <c r="B1292">
        <v>0.25190000000000001</v>
      </c>
    </row>
    <row r="1293" spans="1:2" x14ac:dyDescent="0.25">
      <c r="A1293" t="s">
        <v>1335</v>
      </c>
      <c r="B1293">
        <v>1.5389999999999999</v>
      </c>
    </row>
    <row r="1294" spans="1:2" x14ac:dyDescent="0.25">
      <c r="A1294" t="s">
        <v>1336</v>
      </c>
      <c r="B1294">
        <v>0.1052</v>
      </c>
    </row>
    <row r="1295" spans="1:2" x14ac:dyDescent="0.25">
      <c r="A1295" t="s">
        <v>1337</v>
      </c>
      <c r="B1295">
        <v>7.0000000000000001E-3</v>
      </c>
    </row>
    <row r="1296" spans="1:2" x14ac:dyDescent="0.25">
      <c r="A1296" t="s">
        <v>1338</v>
      </c>
      <c r="B1296">
        <v>0.46600000000000003</v>
      </c>
    </row>
    <row r="1297" spans="1:2" x14ac:dyDescent="0.25">
      <c r="A1297" t="s">
        <v>1339</v>
      </c>
      <c r="B1297">
        <v>1.3940000000000001E-3</v>
      </c>
    </row>
    <row r="1298" spans="1:2" x14ac:dyDescent="0.25">
      <c r="A1298" t="s">
        <v>1340</v>
      </c>
      <c r="B1298">
        <v>9.0500000000000004E-5</v>
      </c>
    </row>
    <row r="1299" spans="1:2" x14ac:dyDescent="0.25">
      <c r="A1299" t="s">
        <v>1341</v>
      </c>
      <c r="B1299">
        <v>2.073</v>
      </c>
    </row>
    <row r="1300" spans="1:2" x14ac:dyDescent="0.25">
      <c r="A1300" t="s">
        <v>1342</v>
      </c>
      <c r="B1300">
        <v>1.556</v>
      </c>
    </row>
    <row r="1301" spans="1:2" x14ac:dyDescent="0.25">
      <c r="A1301" t="s">
        <v>1343</v>
      </c>
      <c r="B1301">
        <v>1.8469999999999999E-4</v>
      </c>
    </row>
    <row r="1302" spans="1:2" x14ac:dyDescent="0.25">
      <c r="A1302" t="s">
        <v>1344</v>
      </c>
      <c r="B1302">
        <v>8.0399999999999991</v>
      </c>
    </row>
    <row r="1303" spans="1:2" x14ac:dyDescent="0.25">
      <c r="A1303" t="s">
        <v>1345</v>
      </c>
      <c r="B1303">
        <v>4.8799999999999999E-6</v>
      </c>
    </row>
    <row r="1304" spans="1:2" x14ac:dyDescent="0.25">
      <c r="A1304" t="s">
        <v>1346</v>
      </c>
      <c r="B1304">
        <v>0.10340000000000001</v>
      </c>
    </row>
    <row r="1305" spans="1:2" x14ac:dyDescent="0.25">
      <c r="A1305" t="s">
        <v>1347</v>
      </c>
      <c r="B1305">
        <v>3.0150000000000001</v>
      </c>
    </row>
    <row r="1306" spans="1:2" x14ac:dyDescent="0.25">
      <c r="A1306" t="s">
        <v>1348</v>
      </c>
      <c r="B1306">
        <v>30.56</v>
      </c>
    </row>
    <row r="1307" spans="1:2" x14ac:dyDescent="0.25">
      <c r="A1307" t="s">
        <v>1349</v>
      </c>
      <c r="B1307">
        <v>5.3780000000000001</v>
      </c>
    </row>
    <row r="1308" spans="1:2" x14ac:dyDescent="0.25">
      <c r="A1308" t="s">
        <v>1350</v>
      </c>
      <c r="B1308">
        <v>0.51300000000000001</v>
      </c>
    </row>
    <row r="1309" spans="1:2" x14ac:dyDescent="0.25">
      <c r="A1309" t="s">
        <v>1351</v>
      </c>
      <c r="B1309">
        <v>1.4500000000000001E-6</v>
      </c>
    </row>
    <row r="1310" spans="1:2" x14ac:dyDescent="0.25">
      <c r="A1310" t="s">
        <v>1352</v>
      </c>
      <c r="B1310">
        <v>2.043E-2</v>
      </c>
    </row>
    <row r="1311" spans="1:2" x14ac:dyDescent="0.25">
      <c r="A1311" t="s">
        <v>1353</v>
      </c>
      <c r="B1311">
        <v>4.515E-5</v>
      </c>
    </row>
    <row r="1312" spans="1:2" x14ac:dyDescent="0.25">
      <c r="A1312" t="s">
        <v>1354</v>
      </c>
      <c r="B1312">
        <v>2.0790000000000002</v>
      </c>
    </row>
    <row r="1313" spans="1:2" x14ac:dyDescent="0.25">
      <c r="A1313" t="s">
        <v>1355</v>
      </c>
      <c r="B1313">
        <v>4.2220000000000004</v>
      </c>
    </row>
    <row r="1314" spans="1:2" x14ac:dyDescent="0.25">
      <c r="A1314" t="s">
        <v>1356</v>
      </c>
      <c r="B1314">
        <v>5.1699999999999996E-6</v>
      </c>
    </row>
    <row r="1315" spans="1:2" x14ac:dyDescent="0.25">
      <c r="A1315" t="s">
        <v>1357</v>
      </c>
      <c r="B1315">
        <v>0.24379999999999999</v>
      </c>
    </row>
    <row r="1316" spans="1:2" x14ac:dyDescent="0.25">
      <c r="A1316" t="s">
        <v>1358</v>
      </c>
      <c r="B1316">
        <v>0.4854</v>
      </c>
    </row>
    <row r="1317" spans="1:2" x14ac:dyDescent="0.25">
      <c r="A1317" t="s">
        <v>1359</v>
      </c>
      <c r="B1317">
        <v>42.62</v>
      </c>
    </row>
    <row r="1318" spans="1:2" x14ac:dyDescent="0.25">
      <c r="A1318" t="s">
        <v>1360</v>
      </c>
      <c r="B1318">
        <v>0.50539999999999996</v>
      </c>
    </row>
    <row r="1319" spans="1:2" x14ac:dyDescent="0.25">
      <c r="A1319" t="s">
        <v>1361</v>
      </c>
      <c r="B1319">
        <v>8.5550000000000001E-2</v>
      </c>
    </row>
    <row r="1320" spans="1:2" x14ac:dyDescent="0.25">
      <c r="A1320" t="s">
        <v>1362</v>
      </c>
      <c r="B1320">
        <v>33.700000000000003</v>
      </c>
    </row>
    <row r="1321" spans="1:2" x14ac:dyDescent="0.25">
      <c r="A1321" t="s">
        <v>1363</v>
      </c>
      <c r="B1321">
        <v>3.7419999999999997E-5</v>
      </c>
    </row>
    <row r="1322" spans="1:2" x14ac:dyDescent="0.25">
      <c r="A1322" t="s">
        <v>1364</v>
      </c>
      <c r="B1322">
        <v>1.891E-2</v>
      </c>
    </row>
    <row r="1323" spans="1:2" x14ac:dyDescent="0.25">
      <c r="A1323" t="s">
        <v>1365</v>
      </c>
      <c r="B1323">
        <v>3.5165000000000002</v>
      </c>
    </row>
    <row r="1324" spans="1:2" x14ac:dyDescent="0.25">
      <c r="A1324" t="s">
        <v>1366</v>
      </c>
      <c r="B1324">
        <v>2.6E-7</v>
      </c>
    </row>
    <row r="1325" spans="1:2" x14ac:dyDescent="0.25">
      <c r="A1325" t="s">
        <v>1367</v>
      </c>
      <c r="B1325">
        <v>9.3600000000000003E-3</v>
      </c>
    </row>
    <row r="1326" spans="1:2" x14ac:dyDescent="0.25">
      <c r="A1326" t="s">
        <v>1368</v>
      </c>
      <c r="B1326">
        <v>2.4680000000000001E-2</v>
      </c>
    </row>
    <row r="1327" spans="1:2" x14ac:dyDescent="0.25">
      <c r="A1327" t="s">
        <v>1369</v>
      </c>
      <c r="B1327">
        <v>3.54E-5</v>
      </c>
    </row>
    <row r="1328" spans="1:2" x14ac:dyDescent="0.25">
      <c r="A1328" t="s">
        <v>1370</v>
      </c>
      <c r="B1328">
        <v>1.347</v>
      </c>
    </row>
    <row r="1329" spans="1:2" x14ac:dyDescent="0.25">
      <c r="A1329" t="s">
        <v>1371</v>
      </c>
      <c r="B1329">
        <v>2.899</v>
      </c>
    </row>
    <row r="1330" spans="1:2" x14ac:dyDescent="0.25">
      <c r="A1330" t="s">
        <v>1372</v>
      </c>
      <c r="B1330">
        <v>35.299999999999997</v>
      </c>
    </row>
    <row r="1331" spans="1:2" x14ac:dyDescent="0.25">
      <c r="A1331" t="s">
        <v>1373</v>
      </c>
      <c r="B1331">
        <v>0</v>
      </c>
    </row>
    <row r="1332" spans="1:2" x14ac:dyDescent="0.25">
      <c r="A1332" t="s">
        <v>1374</v>
      </c>
      <c r="B1332">
        <v>0.30209999999999998</v>
      </c>
    </row>
    <row r="1333" spans="1:2" x14ac:dyDescent="0.25">
      <c r="A1333" t="s">
        <v>1375</v>
      </c>
      <c r="B1333">
        <v>4.8559999999999999</v>
      </c>
    </row>
    <row r="1334" spans="1:2" x14ac:dyDescent="0.25">
      <c r="A1334" t="s">
        <v>1376</v>
      </c>
      <c r="B1334">
        <v>1.252E-5</v>
      </c>
    </row>
    <row r="1335" spans="1:2" x14ac:dyDescent="0.25">
      <c r="A1335" t="s">
        <v>1377</v>
      </c>
      <c r="B1335">
        <v>0.72599999999999998</v>
      </c>
    </row>
    <row r="1336" spans="1:2" x14ac:dyDescent="0.25">
      <c r="A1336" t="s">
        <v>1378</v>
      </c>
      <c r="B1336">
        <v>1.175</v>
      </c>
    </row>
    <row r="1337" spans="1:2" x14ac:dyDescent="0.25">
      <c r="A1337" t="s">
        <v>1379</v>
      </c>
      <c r="B1337">
        <v>7.46E-2</v>
      </c>
    </row>
    <row r="1338" spans="1:2" x14ac:dyDescent="0.25">
      <c r="A1338" t="s">
        <v>1380</v>
      </c>
      <c r="B1338">
        <v>5.2999999999999999E-2</v>
      </c>
    </row>
    <row r="1339" spans="1:2" x14ac:dyDescent="0.25">
      <c r="A1339" t="s">
        <v>1381</v>
      </c>
      <c r="B1339">
        <v>5.7200000000000001E-2</v>
      </c>
    </row>
    <row r="1340" spans="1:2" x14ac:dyDescent="0.25">
      <c r="A1340" t="s">
        <v>1382</v>
      </c>
      <c r="B1340">
        <v>0</v>
      </c>
    </row>
    <row r="1341" spans="1:2" x14ac:dyDescent="0.25">
      <c r="A1341" t="s">
        <v>1383</v>
      </c>
      <c r="B1341">
        <v>359.6</v>
      </c>
    </row>
    <row r="1342" spans="1:2" x14ac:dyDescent="0.25">
      <c r="A1342" t="s">
        <v>1384</v>
      </c>
      <c r="B1342">
        <v>8.0000000000000002E-8</v>
      </c>
    </row>
    <row r="1343" spans="1:2" x14ac:dyDescent="0.25">
      <c r="A1343" t="s">
        <v>1385</v>
      </c>
      <c r="B1343">
        <v>1.0130999999999999E-2</v>
      </c>
    </row>
    <row r="1344" spans="1:2" x14ac:dyDescent="0.25">
      <c r="A1344" t="s">
        <v>1386</v>
      </c>
      <c r="B1344">
        <v>5.2529999999999999E-3</v>
      </c>
    </row>
    <row r="1345" spans="1:2" x14ac:dyDescent="0.25">
      <c r="A1345" t="s">
        <v>1387</v>
      </c>
      <c r="B1345">
        <v>34.49</v>
      </c>
    </row>
    <row r="1346" spans="1:2" x14ac:dyDescent="0.25">
      <c r="A1346" t="s">
        <v>1388</v>
      </c>
      <c r="B1346">
        <v>1.3280000000000001</v>
      </c>
    </row>
    <row r="1347" spans="1:2" x14ac:dyDescent="0.25">
      <c r="A1347" t="s">
        <v>1389</v>
      </c>
      <c r="B1347">
        <v>0.1946</v>
      </c>
    </row>
    <row r="1348" spans="1:2" x14ac:dyDescent="0.25">
      <c r="A1348" t="s">
        <v>1390</v>
      </c>
      <c r="B1348">
        <v>0.34439999999999998</v>
      </c>
    </row>
    <row r="1349" spans="1:2" x14ac:dyDescent="0.25">
      <c r="A1349" t="s">
        <v>1391</v>
      </c>
      <c r="B1349">
        <v>498.6</v>
      </c>
    </row>
    <row r="1350" spans="1:2" x14ac:dyDescent="0.25">
      <c r="A1350" t="s">
        <v>1392</v>
      </c>
      <c r="B1350">
        <v>8.6100000000000006E-6</v>
      </c>
    </row>
    <row r="1351" spans="1:2" x14ac:dyDescent="0.25">
      <c r="A1351" t="s">
        <v>1393</v>
      </c>
      <c r="B1351">
        <v>0.54698000000000002</v>
      </c>
    </row>
    <row r="1352" spans="1:2" x14ac:dyDescent="0.25">
      <c r="A1352" t="s">
        <v>1394</v>
      </c>
      <c r="B1352">
        <v>0.80869999999999997</v>
      </c>
    </row>
    <row r="1353" spans="1:2" x14ac:dyDescent="0.25">
      <c r="A1353" t="s">
        <v>1395</v>
      </c>
      <c r="B1353">
        <v>0</v>
      </c>
    </row>
    <row r="1354" spans="1:2" x14ac:dyDescent="0.25">
      <c r="A1354" t="s">
        <v>1396</v>
      </c>
      <c r="B1354">
        <v>0</v>
      </c>
    </row>
    <row r="1355" spans="1:2" x14ac:dyDescent="0.25">
      <c r="A1355" t="s">
        <v>1397</v>
      </c>
      <c r="B1355">
        <v>0</v>
      </c>
    </row>
    <row r="1356" spans="1:2" x14ac:dyDescent="0.25">
      <c r="A1356" t="s">
        <v>1398</v>
      </c>
      <c r="B1356">
        <v>1.52E-5</v>
      </c>
    </row>
    <row r="1357" spans="1:2" x14ac:dyDescent="0.25">
      <c r="A1357" t="s">
        <v>1399</v>
      </c>
      <c r="B1357">
        <v>7.2700000000000001E-2</v>
      </c>
    </row>
    <row r="1358" spans="1:2" x14ac:dyDescent="0.25">
      <c r="A1358" t="s">
        <v>1400</v>
      </c>
      <c r="B1358">
        <v>1.4266000000000001</v>
      </c>
    </row>
    <row r="1359" spans="1:2" x14ac:dyDescent="0.25">
      <c r="A1359" t="s">
        <v>1401</v>
      </c>
      <c r="B1359">
        <v>1.7099999999999999E-6</v>
      </c>
    </row>
    <row r="1360" spans="1:2" x14ac:dyDescent="0.25">
      <c r="A1360" t="s">
        <v>1402</v>
      </c>
      <c r="B1360">
        <v>0.154</v>
      </c>
    </row>
    <row r="1361" spans="1:2" x14ac:dyDescent="0.25">
      <c r="A1361" t="s">
        <v>1403</v>
      </c>
      <c r="B1361">
        <v>0.16039999999999999</v>
      </c>
    </row>
    <row r="1362" spans="1:2" x14ac:dyDescent="0.25">
      <c r="A1362" t="s">
        <v>1404</v>
      </c>
      <c r="B1362">
        <v>0.36759999999999998</v>
      </c>
    </row>
    <row r="1363" spans="1:2" x14ac:dyDescent="0.25">
      <c r="A1363" t="s">
        <v>1405</v>
      </c>
      <c r="B1363">
        <v>27.89</v>
      </c>
    </row>
    <row r="1364" spans="1:2" x14ac:dyDescent="0.25">
      <c r="A1364" t="s">
        <v>1406</v>
      </c>
      <c r="B1364">
        <v>63.56</v>
      </c>
    </row>
    <row r="1365" spans="1:2" x14ac:dyDescent="0.25">
      <c r="A1365" t="s">
        <v>1407</v>
      </c>
      <c r="B1365">
        <v>0</v>
      </c>
    </row>
    <row r="1366" spans="1:2" x14ac:dyDescent="0.25">
      <c r="A1366" t="s">
        <v>1408</v>
      </c>
      <c r="B1366">
        <v>0.73419999999999996</v>
      </c>
    </row>
    <row r="1367" spans="1:2" x14ac:dyDescent="0.25">
      <c r="A1367" t="s">
        <v>1409</v>
      </c>
      <c r="B1367">
        <v>0.61399999999999999</v>
      </c>
    </row>
    <row r="1368" spans="1:2" x14ac:dyDescent="0.25">
      <c r="A1368" t="s">
        <v>1410</v>
      </c>
      <c r="B1368">
        <v>3.6510000000000002E-3</v>
      </c>
    </row>
    <row r="1369" spans="1:2" x14ac:dyDescent="0.25">
      <c r="A1369" t="s">
        <v>1411</v>
      </c>
      <c r="B1369">
        <v>0</v>
      </c>
    </row>
    <row r="1370" spans="1:2" x14ac:dyDescent="0.25">
      <c r="A1370" t="s">
        <v>1412</v>
      </c>
      <c r="B1370">
        <v>0</v>
      </c>
    </row>
    <row r="1371" spans="1:2" x14ac:dyDescent="0.25">
      <c r="A1371" t="s">
        <v>1413</v>
      </c>
      <c r="B1371">
        <v>0</v>
      </c>
    </row>
    <row r="1372" spans="1:2" x14ac:dyDescent="0.25">
      <c r="A1372" t="s">
        <v>1414</v>
      </c>
      <c r="B1372">
        <v>3.2399999999999998E-3</v>
      </c>
    </row>
    <row r="1373" spans="1:2" x14ac:dyDescent="0.25">
      <c r="A1373" t="s">
        <v>1415</v>
      </c>
      <c r="B1373">
        <v>95.1</v>
      </c>
    </row>
    <row r="1374" spans="1:2" x14ac:dyDescent="0.25">
      <c r="A1374" t="s">
        <v>1416</v>
      </c>
      <c r="B1374">
        <v>95.3</v>
      </c>
    </row>
    <row r="1375" spans="1:2" x14ac:dyDescent="0.25">
      <c r="A1375" t="s">
        <v>1417</v>
      </c>
      <c r="B1375">
        <v>5.0699999999999997E-6</v>
      </c>
    </row>
    <row r="1376" spans="1:2" x14ac:dyDescent="0.25">
      <c r="A1376" t="s">
        <v>1418</v>
      </c>
      <c r="B1376">
        <v>3360</v>
      </c>
    </row>
    <row r="1377" spans="1:2" x14ac:dyDescent="0.25">
      <c r="A1377" t="s">
        <v>1419</v>
      </c>
      <c r="B1377">
        <v>0.2082</v>
      </c>
    </row>
    <row r="1378" spans="1:2" x14ac:dyDescent="0.25">
      <c r="A1378" t="s">
        <v>1420</v>
      </c>
      <c r="B1378">
        <v>0.47789999999999999</v>
      </c>
    </row>
    <row r="1379" spans="1:2" x14ac:dyDescent="0.25">
      <c r="A1379" t="s">
        <v>1421</v>
      </c>
      <c r="B1379">
        <v>1.6660000000000001E-4</v>
      </c>
    </row>
    <row r="1380" spans="1:2" x14ac:dyDescent="0.25">
      <c r="A1380" t="s">
        <v>1422</v>
      </c>
      <c r="B1380">
        <v>0.46029999999999999</v>
      </c>
    </row>
    <row r="1381" spans="1:2" x14ac:dyDescent="0.25">
      <c r="A1381" t="s">
        <v>1423</v>
      </c>
      <c r="B1381">
        <v>0</v>
      </c>
    </row>
    <row r="1382" spans="1:2" x14ac:dyDescent="0.25">
      <c r="A1382" t="s">
        <v>1424</v>
      </c>
      <c r="B1382">
        <v>0</v>
      </c>
    </row>
    <row r="1383" spans="1:2" x14ac:dyDescent="0.25">
      <c r="A1383" t="s">
        <v>1425</v>
      </c>
      <c r="B1383">
        <v>1.789E-3</v>
      </c>
    </row>
    <row r="1384" spans="1:2" x14ac:dyDescent="0.25">
      <c r="A1384" t="s">
        <v>1426</v>
      </c>
      <c r="B1384">
        <v>1.008E-4</v>
      </c>
    </row>
    <row r="1385" spans="1:2" x14ac:dyDescent="0.25">
      <c r="A1385" t="s">
        <v>1427</v>
      </c>
      <c r="B1385">
        <v>1.4000000000000001E-7</v>
      </c>
    </row>
    <row r="1386" spans="1:2" x14ac:dyDescent="0.25">
      <c r="A1386" t="s">
        <v>1428</v>
      </c>
      <c r="B1386">
        <v>9.41E-3</v>
      </c>
    </row>
    <row r="1387" spans="1:2" x14ac:dyDescent="0.25">
      <c r="A1387" t="s">
        <v>1429</v>
      </c>
      <c r="B1387">
        <v>1.358E-2</v>
      </c>
    </row>
    <row r="1388" spans="1:2" x14ac:dyDescent="0.25">
      <c r="A1388" t="s">
        <v>1430</v>
      </c>
      <c r="B1388">
        <v>0</v>
      </c>
    </row>
    <row r="1389" spans="1:2" x14ac:dyDescent="0.25">
      <c r="A1389" t="s">
        <v>1431</v>
      </c>
      <c r="B1389">
        <v>0</v>
      </c>
    </row>
    <row r="1390" spans="1:2" x14ac:dyDescent="0.25">
      <c r="A1390" t="s">
        <v>1432</v>
      </c>
      <c r="B1390">
        <v>17.62</v>
      </c>
    </row>
    <row r="1391" spans="1:2" x14ac:dyDescent="0.25">
      <c r="A1391" t="s">
        <v>1433</v>
      </c>
      <c r="B1391">
        <v>17.649999999999999</v>
      </c>
    </row>
    <row r="1392" spans="1:2" x14ac:dyDescent="0.25">
      <c r="A1392" t="s">
        <v>1434</v>
      </c>
      <c r="B1392">
        <v>1.0579999999999999E-3</v>
      </c>
    </row>
    <row r="1393" spans="1:2" x14ac:dyDescent="0.25">
      <c r="A1393" t="s">
        <v>1435</v>
      </c>
      <c r="B1393">
        <v>31522</v>
      </c>
    </row>
    <row r="1394" spans="1:2" x14ac:dyDescent="0.25">
      <c r="A1394" t="s">
        <v>1436</v>
      </c>
      <c r="B1394">
        <v>8.4969999999999999</v>
      </c>
    </row>
    <row r="1395" spans="1:2" x14ac:dyDescent="0.25">
      <c r="A1395" t="s">
        <v>1437</v>
      </c>
      <c r="B1395">
        <v>4.2939999999999999E-2</v>
      </c>
    </row>
    <row r="1396" spans="1:2" x14ac:dyDescent="0.25">
      <c r="A1396" t="s">
        <v>1438</v>
      </c>
      <c r="B1396">
        <v>1.43E-2</v>
      </c>
    </row>
    <row r="1397" spans="1:2" x14ac:dyDescent="0.25">
      <c r="A1397" t="s">
        <v>1439</v>
      </c>
      <c r="B1397">
        <v>6.5760000000000005E-4</v>
      </c>
    </row>
    <row r="1398" spans="1:2" x14ac:dyDescent="0.25">
      <c r="A1398" t="s">
        <v>1440</v>
      </c>
      <c r="B1398">
        <v>8.3799999999999994E-6</v>
      </c>
    </row>
    <row r="1399" spans="1:2" x14ac:dyDescent="0.25">
      <c r="A1399" t="s">
        <v>1441</v>
      </c>
      <c r="B1399">
        <v>0.13236999999999999</v>
      </c>
    </row>
    <row r="1400" spans="1:2" x14ac:dyDescent="0.25">
      <c r="A1400" t="s">
        <v>1442</v>
      </c>
      <c r="B1400">
        <v>0.14168</v>
      </c>
    </row>
    <row r="1401" spans="1:2" x14ac:dyDescent="0.25">
      <c r="A1401" t="s">
        <v>1443</v>
      </c>
      <c r="B1401">
        <v>1.4100000000000001E-4</v>
      </c>
    </row>
    <row r="1402" spans="1:2" x14ac:dyDescent="0.25">
      <c r="A1402" t="s">
        <v>1444</v>
      </c>
      <c r="B1402">
        <v>2.5329999999999999</v>
      </c>
    </row>
    <row r="1403" spans="1:2" x14ac:dyDescent="0.25">
      <c r="A1403" t="s">
        <v>1445</v>
      </c>
      <c r="B1403">
        <v>2.2629999999999999</v>
      </c>
    </row>
    <row r="1404" spans="1:2" x14ac:dyDescent="0.25">
      <c r="A1404" t="s">
        <v>1446</v>
      </c>
      <c r="B1404">
        <v>5.554E-5</v>
      </c>
    </row>
    <row r="1405" spans="1:2" x14ac:dyDescent="0.25">
      <c r="A1405" t="s">
        <v>1447</v>
      </c>
      <c r="B1405">
        <v>3.0270000000000001</v>
      </c>
    </row>
    <row r="1406" spans="1:2" x14ac:dyDescent="0.25">
      <c r="A1406" t="s">
        <v>1448</v>
      </c>
      <c r="B1406">
        <v>5.2160000000000002</v>
      </c>
    </row>
    <row r="1407" spans="1:2" x14ac:dyDescent="0.25">
      <c r="A1407" t="s">
        <v>1449</v>
      </c>
      <c r="B1407">
        <v>2.714</v>
      </c>
    </row>
    <row r="1408" spans="1:2" x14ac:dyDescent="0.25">
      <c r="A1408" t="s">
        <v>1450</v>
      </c>
      <c r="B1408">
        <v>6.94</v>
      </c>
    </row>
    <row r="1409" spans="1:2" x14ac:dyDescent="0.25">
      <c r="A1409" t="s">
        <v>1451</v>
      </c>
      <c r="B1409">
        <v>0</v>
      </c>
    </row>
    <row r="1410" spans="1:2" x14ac:dyDescent="0.25">
      <c r="A1410" t="s">
        <v>1452</v>
      </c>
      <c r="B1410">
        <v>0</v>
      </c>
    </row>
    <row r="1411" spans="1:2" x14ac:dyDescent="0.25">
      <c r="A1411" t="s">
        <v>1453</v>
      </c>
      <c r="B1411">
        <v>0</v>
      </c>
    </row>
    <row r="1412" spans="1:2" x14ac:dyDescent="0.25">
      <c r="A1412" t="s">
        <v>1454</v>
      </c>
      <c r="B1412">
        <v>0</v>
      </c>
    </row>
    <row r="1413" spans="1:2" x14ac:dyDescent="0.25">
      <c r="A1413" t="s">
        <v>1455</v>
      </c>
      <c r="B1413">
        <v>0.2621</v>
      </c>
    </row>
    <row r="1414" spans="1:2" x14ac:dyDescent="0.25">
      <c r="A1414" t="s">
        <v>1456</v>
      </c>
      <c r="B1414">
        <v>0.32079999999999997</v>
      </c>
    </row>
    <row r="1415" spans="1:2" x14ac:dyDescent="0.25">
      <c r="A1415" t="s">
        <v>1457</v>
      </c>
      <c r="B1415">
        <v>0.4637</v>
      </c>
    </row>
    <row r="1416" spans="1:2" x14ac:dyDescent="0.25">
      <c r="A1416" t="s">
        <v>1458</v>
      </c>
      <c r="B1416">
        <v>1.487E-3</v>
      </c>
    </row>
    <row r="1417" spans="1:2" x14ac:dyDescent="0.25">
      <c r="A1417" t="s">
        <v>1459</v>
      </c>
      <c r="B1417">
        <v>3.7550000000000001E-3</v>
      </c>
    </row>
    <row r="1418" spans="1:2" x14ac:dyDescent="0.25">
      <c r="A1418" t="s">
        <v>1460</v>
      </c>
      <c r="B1418">
        <v>0</v>
      </c>
    </row>
    <row r="1419" spans="1:2" x14ac:dyDescent="0.25">
      <c r="A1419" t="s">
        <v>1461</v>
      </c>
      <c r="B1419">
        <v>0.2447</v>
      </c>
    </row>
    <row r="1420" spans="1:2" x14ac:dyDescent="0.25">
      <c r="A1420" t="s">
        <v>1462</v>
      </c>
      <c r="B1420">
        <v>1.5802</v>
      </c>
    </row>
    <row r="1421" spans="1:2" x14ac:dyDescent="0.25">
      <c r="A1421" t="s">
        <v>1463</v>
      </c>
      <c r="B1421">
        <v>2.1480000000000001E-5</v>
      </c>
    </row>
    <row r="1422" spans="1:2" x14ac:dyDescent="0.25">
      <c r="A1422" t="s">
        <v>1464</v>
      </c>
      <c r="B1422">
        <v>9.3100000000000006E-6</v>
      </c>
    </row>
    <row r="1423" spans="1:2" x14ac:dyDescent="0.25">
      <c r="A1423" t="s">
        <v>1465</v>
      </c>
      <c r="B1423">
        <v>1.091E-4</v>
      </c>
    </row>
    <row r="1424" spans="1:2" x14ac:dyDescent="0.25">
      <c r="A1424" t="s">
        <v>1466</v>
      </c>
      <c r="B1424">
        <v>1.6799999999999999E-2</v>
      </c>
    </row>
    <row r="1425" spans="1:2" x14ac:dyDescent="0.25">
      <c r="A1425" t="s">
        <v>1467</v>
      </c>
      <c r="B1425">
        <v>3.8969999999999998</v>
      </c>
    </row>
    <row r="1426" spans="1:2" x14ac:dyDescent="0.25">
      <c r="A1426" t="s">
        <v>1468</v>
      </c>
      <c r="B1426">
        <v>10.26</v>
      </c>
    </row>
    <row r="1427" spans="1:2" x14ac:dyDescent="0.25">
      <c r="A1427" t="s">
        <v>1469</v>
      </c>
      <c r="B1427">
        <v>2.065E-5</v>
      </c>
    </row>
    <row r="1428" spans="1:2" x14ac:dyDescent="0.25">
      <c r="A1428" t="s">
        <v>1470</v>
      </c>
      <c r="B1428">
        <v>0</v>
      </c>
    </row>
    <row r="1429" spans="1:2" x14ac:dyDescent="0.25">
      <c r="A1429" t="s">
        <v>1471</v>
      </c>
      <c r="B1429">
        <v>20</v>
      </c>
    </row>
    <row r="1430" spans="1:2" x14ac:dyDescent="0.25">
      <c r="A1430" t="s">
        <v>1472</v>
      </c>
      <c r="B1430">
        <v>0</v>
      </c>
    </row>
    <row r="1431" spans="1:2" x14ac:dyDescent="0.25">
      <c r="A1431" t="s">
        <v>1473</v>
      </c>
      <c r="B1431">
        <v>955</v>
      </c>
    </row>
    <row r="1432" spans="1:2" x14ac:dyDescent="0.25">
      <c r="A1432" t="s">
        <v>1474</v>
      </c>
      <c r="B1432">
        <v>1.806E-4</v>
      </c>
    </row>
    <row r="1433" spans="1:2" x14ac:dyDescent="0.25">
      <c r="A1433" t="s">
        <v>1475</v>
      </c>
      <c r="B1433">
        <v>2.1829999999999999E-2</v>
      </c>
    </row>
    <row r="1434" spans="1:2" x14ac:dyDescent="0.25">
      <c r="A1434" t="s">
        <v>1476</v>
      </c>
      <c r="B1434">
        <v>3.8519999999999999</v>
      </c>
    </row>
    <row r="1435" spans="1:2" x14ac:dyDescent="0.25">
      <c r="A1435" t="s">
        <v>1477</v>
      </c>
      <c r="B1435">
        <v>16.940000000000001</v>
      </c>
    </row>
    <row r="1436" spans="1:2" x14ac:dyDescent="0.25">
      <c r="A1436" t="s">
        <v>1478</v>
      </c>
      <c r="B1436">
        <v>1.859E-5</v>
      </c>
    </row>
    <row r="1437" spans="1:2" x14ac:dyDescent="0.25">
      <c r="A1437" t="s">
        <v>1479</v>
      </c>
      <c r="B1437">
        <v>2.65E-3</v>
      </c>
    </row>
    <row r="1438" spans="1:2" x14ac:dyDescent="0.25">
      <c r="A1438" t="s">
        <v>1480</v>
      </c>
      <c r="B1438">
        <v>0.25669999999999998</v>
      </c>
    </row>
    <row r="1439" spans="1:2" x14ac:dyDescent="0.25">
      <c r="A1439" t="s">
        <v>1481</v>
      </c>
      <c r="B1439">
        <v>0.30790000000000001</v>
      </c>
    </row>
    <row r="1440" spans="1:2" x14ac:dyDescent="0.25">
      <c r="A1440" t="s">
        <v>1482</v>
      </c>
      <c r="B1440">
        <v>7.7000000000000004E-7</v>
      </c>
    </row>
    <row r="1441" spans="1:2" x14ac:dyDescent="0.25">
      <c r="A1441" t="s">
        <v>1483</v>
      </c>
      <c r="B1441">
        <v>0</v>
      </c>
    </row>
    <row r="1442" spans="1:2" x14ac:dyDescent="0.25">
      <c r="A1442" t="s">
        <v>1484</v>
      </c>
      <c r="B1442">
        <v>6.4399999999999999E-2</v>
      </c>
    </row>
    <row r="1443" spans="1:2" x14ac:dyDescent="0.25">
      <c r="A1443" t="s">
        <v>1485</v>
      </c>
      <c r="B1443">
        <v>3.4500000000000003E-2</v>
      </c>
    </row>
    <row r="1444" spans="1:2" x14ac:dyDescent="0.25">
      <c r="A1444" t="s">
        <v>1486</v>
      </c>
      <c r="B1444">
        <v>4.1910000000000003E-3</v>
      </c>
    </row>
    <row r="1445" spans="1:2" x14ac:dyDescent="0.25">
      <c r="A1445" t="s">
        <v>1487</v>
      </c>
      <c r="B1445">
        <v>3.5870000000000002</v>
      </c>
    </row>
    <row r="1446" spans="1:2" x14ac:dyDescent="0.25">
      <c r="A1446" t="s">
        <v>1488</v>
      </c>
      <c r="B1446">
        <v>2.9660000000000002</v>
      </c>
    </row>
    <row r="1447" spans="1:2" x14ac:dyDescent="0.25">
      <c r="A1447" t="s">
        <v>1489</v>
      </c>
      <c r="B1447">
        <v>1.6359999999999999E-4</v>
      </c>
    </row>
    <row r="1448" spans="1:2" x14ac:dyDescent="0.25">
      <c r="A1448" t="s">
        <v>1490</v>
      </c>
      <c r="B1448">
        <v>2.1690000000000001E-2</v>
      </c>
    </row>
    <row r="1449" spans="1:2" x14ac:dyDescent="0.25">
      <c r="A1449" t="s">
        <v>1491</v>
      </c>
      <c r="B1449">
        <v>6.16</v>
      </c>
    </row>
    <row r="1450" spans="1:2" x14ac:dyDescent="0.25">
      <c r="A1450" t="s">
        <v>1492</v>
      </c>
      <c r="B1450">
        <v>15.37</v>
      </c>
    </row>
    <row r="1451" spans="1:2" x14ac:dyDescent="0.25">
      <c r="A1451" t="s">
        <v>1493</v>
      </c>
      <c r="B1451">
        <v>150946</v>
      </c>
    </row>
    <row r="1452" spans="1:2" x14ac:dyDescent="0.25">
      <c r="A1452" t="s">
        <v>1494</v>
      </c>
      <c r="B1452">
        <v>2.125</v>
      </c>
    </row>
    <row r="1453" spans="1:2" x14ac:dyDescent="0.25">
      <c r="A1453" t="s">
        <v>1495</v>
      </c>
      <c r="B1453">
        <v>186.83</v>
      </c>
    </row>
    <row r="1454" spans="1:2" x14ac:dyDescent="0.25">
      <c r="A1454" t="s">
        <v>1496</v>
      </c>
      <c r="B1454">
        <v>1.3350999999999999E-4</v>
      </c>
    </row>
    <row r="1455" spans="1:2" x14ac:dyDescent="0.25">
      <c r="A1455" t="s">
        <v>1497</v>
      </c>
      <c r="B1455">
        <v>9.6900000000000004E-6</v>
      </c>
    </row>
    <row r="1456" spans="1:2" x14ac:dyDescent="0.25">
      <c r="A1456" t="s">
        <v>1498</v>
      </c>
      <c r="B1456">
        <v>9.9009999999999998</v>
      </c>
    </row>
    <row r="1457" spans="1:2" x14ac:dyDescent="0.25">
      <c r="A1457" t="s">
        <v>1499</v>
      </c>
      <c r="B1457">
        <v>0.81899999999999995</v>
      </c>
    </row>
    <row r="1458" spans="1:2" x14ac:dyDescent="0.25">
      <c r="A1458" t="s">
        <v>1500</v>
      </c>
      <c r="B1458">
        <v>7.5960000000000003E-4</v>
      </c>
    </row>
    <row r="1459" spans="1:2" x14ac:dyDescent="0.25">
      <c r="A1459" t="s">
        <v>1501</v>
      </c>
      <c r="B1459">
        <v>8382</v>
      </c>
    </row>
    <row r="1460" spans="1:2" x14ac:dyDescent="0.25">
      <c r="A1460" t="s">
        <v>1502</v>
      </c>
      <c r="B1460">
        <v>76.47</v>
      </c>
    </row>
    <row r="1461" spans="1:2" x14ac:dyDescent="0.25">
      <c r="A1461" t="s">
        <v>1503</v>
      </c>
      <c r="B1461">
        <v>0</v>
      </c>
    </row>
    <row r="1462" spans="1:2" x14ac:dyDescent="0.25">
      <c r="A1462" t="s">
        <v>1504</v>
      </c>
      <c r="B1462">
        <v>0</v>
      </c>
    </row>
    <row r="1463" spans="1:2" x14ac:dyDescent="0.25">
      <c r="A1463" t="s">
        <v>1505</v>
      </c>
      <c r="B1463">
        <v>0</v>
      </c>
    </row>
    <row r="1464" spans="1:2" x14ac:dyDescent="0.25">
      <c r="A1464" t="s">
        <v>1506</v>
      </c>
      <c r="B1464">
        <v>0</v>
      </c>
    </row>
    <row r="1465" spans="1:2" x14ac:dyDescent="0.25">
      <c r="A1465" t="s">
        <v>1507</v>
      </c>
      <c r="B1465">
        <v>1.3358E-2</v>
      </c>
    </row>
    <row r="1466" spans="1:2" x14ac:dyDescent="0.25">
      <c r="A1466" t="s">
        <v>1508</v>
      </c>
      <c r="B1466">
        <v>0</v>
      </c>
    </row>
    <row r="1467" spans="1:2" x14ac:dyDescent="0.25">
      <c r="A1467" t="s">
        <v>1509</v>
      </c>
      <c r="B1467">
        <v>1.1480000000000001E-2</v>
      </c>
    </row>
    <row r="1468" spans="1:2" x14ac:dyDescent="0.25">
      <c r="A1468" t="s">
        <v>1510</v>
      </c>
      <c r="B1468">
        <v>2.42</v>
      </c>
    </row>
    <row r="1469" spans="1:2" x14ac:dyDescent="0.25">
      <c r="A1469" t="s">
        <v>1511</v>
      </c>
      <c r="B1469">
        <v>7.19</v>
      </c>
    </row>
    <row r="1470" spans="1:2" x14ac:dyDescent="0.25">
      <c r="A1470" t="s">
        <v>1512</v>
      </c>
      <c r="B1470">
        <v>0.42180000000000001</v>
      </c>
    </row>
    <row r="1471" spans="1:2" x14ac:dyDescent="0.25">
      <c r="A1471" t="s">
        <v>1513</v>
      </c>
      <c r="B1471">
        <v>0.61599999999999999</v>
      </c>
    </row>
    <row r="1472" spans="1:2" x14ac:dyDescent="0.25">
      <c r="A1472" t="s">
        <v>1514</v>
      </c>
      <c r="B1472">
        <v>6.9400000000000006E-5</v>
      </c>
    </row>
    <row r="1473" spans="1:2" x14ac:dyDescent="0.25">
      <c r="A1473" t="s">
        <v>1515</v>
      </c>
      <c r="B1473">
        <v>0.624</v>
      </c>
    </row>
    <row r="1474" spans="1:2" x14ac:dyDescent="0.25">
      <c r="A1474" t="s">
        <v>1516</v>
      </c>
      <c r="B1474">
        <v>0</v>
      </c>
    </row>
    <row r="1475" spans="1:2" x14ac:dyDescent="0.25">
      <c r="A1475" t="s">
        <v>1517</v>
      </c>
      <c r="B1475">
        <v>1.79E-6</v>
      </c>
    </row>
    <row r="1476" spans="1:2" x14ac:dyDescent="0.25">
      <c r="A1476" t="s">
        <v>1518</v>
      </c>
      <c r="B1476">
        <v>3.6900000000000002E-4</v>
      </c>
    </row>
    <row r="1477" spans="1:2" x14ac:dyDescent="0.25">
      <c r="A1477" t="s">
        <v>1519</v>
      </c>
      <c r="B1477">
        <v>7.9200000000000007E-2</v>
      </c>
    </row>
    <row r="1478" spans="1:2" x14ac:dyDescent="0.25">
      <c r="A1478" t="s">
        <v>1520</v>
      </c>
      <c r="B1478">
        <v>0.16800000000000001</v>
      </c>
    </row>
    <row r="1479" spans="1:2" x14ac:dyDescent="0.25">
      <c r="A1479" t="s">
        <v>1521</v>
      </c>
      <c r="B1479">
        <v>8.2700000000000004E-6</v>
      </c>
    </row>
    <row r="1480" spans="1:2" x14ac:dyDescent="0.25">
      <c r="A1480" t="s">
        <v>1522</v>
      </c>
      <c r="B1480">
        <v>0</v>
      </c>
    </row>
    <row r="1481" spans="1:2" x14ac:dyDescent="0.25">
      <c r="A1481" t="s">
        <v>1523</v>
      </c>
      <c r="B1481">
        <v>0.95199999999999996</v>
      </c>
    </row>
    <row r="1482" spans="1:2" x14ac:dyDescent="0.25">
      <c r="A1482" t="s">
        <v>1524</v>
      </c>
      <c r="B1482">
        <v>0.77900000000000003</v>
      </c>
    </row>
    <row r="1483" spans="1:2" x14ac:dyDescent="0.25">
      <c r="A1483" t="s">
        <v>1525</v>
      </c>
      <c r="B1483">
        <v>2.398E-4</v>
      </c>
    </row>
    <row r="1484" spans="1:2" x14ac:dyDescent="0.25">
      <c r="A1484" t="s">
        <v>1526</v>
      </c>
      <c r="B1484">
        <v>0</v>
      </c>
    </row>
    <row r="1485" spans="1:2" x14ac:dyDescent="0.25">
      <c r="A1485" t="s">
        <v>1527</v>
      </c>
      <c r="B1485">
        <v>1.69</v>
      </c>
    </row>
    <row r="1486" spans="1:2" x14ac:dyDescent="0.25">
      <c r="A1486" t="s">
        <v>1528</v>
      </c>
      <c r="B1486">
        <v>4.0599999999999996</v>
      </c>
    </row>
    <row r="1487" spans="1:2" x14ac:dyDescent="0.25">
      <c r="A1487" t="s">
        <v>1529</v>
      </c>
      <c r="B1487">
        <v>12.92</v>
      </c>
    </row>
    <row r="1488" spans="1:2" x14ac:dyDescent="0.25">
      <c r="A1488" t="s">
        <v>1530</v>
      </c>
      <c r="B1488">
        <v>0</v>
      </c>
    </row>
    <row r="1489" spans="1:2" x14ac:dyDescent="0.25">
      <c r="A1489" t="s">
        <v>1531</v>
      </c>
      <c r="B1489">
        <v>88.08</v>
      </c>
    </row>
    <row r="1490" spans="1:2" x14ac:dyDescent="0.25">
      <c r="A1490" t="s">
        <v>1532</v>
      </c>
      <c r="B1490">
        <v>2.79E-6</v>
      </c>
    </row>
    <row r="1491" spans="1:2" x14ac:dyDescent="0.25">
      <c r="A1491" t="s">
        <v>1533</v>
      </c>
      <c r="B1491">
        <v>3.7319999999999999E-2</v>
      </c>
    </row>
    <row r="1492" spans="1:2" x14ac:dyDescent="0.25">
      <c r="A1492" t="s">
        <v>1534</v>
      </c>
      <c r="B1492">
        <v>0</v>
      </c>
    </row>
    <row r="1493" spans="1:2" x14ac:dyDescent="0.25">
      <c r="A1493" t="s">
        <v>1535</v>
      </c>
      <c r="B1493">
        <v>0</v>
      </c>
    </row>
    <row r="1494" spans="1:2" x14ac:dyDescent="0.25">
      <c r="A1494" t="s">
        <v>1536</v>
      </c>
      <c r="B1494">
        <v>0</v>
      </c>
    </row>
    <row r="1495" spans="1:2" x14ac:dyDescent="0.25">
      <c r="A1495" t="s">
        <v>1537</v>
      </c>
      <c r="B1495">
        <v>0</v>
      </c>
    </row>
    <row r="1496" spans="1:2" x14ac:dyDescent="0.25">
      <c r="A1496" t="s">
        <v>1538</v>
      </c>
      <c r="B1496">
        <v>6876.1</v>
      </c>
    </row>
    <row r="1497" spans="1:2" x14ac:dyDescent="0.25">
      <c r="A1497" t="s">
        <v>1539</v>
      </c>
      <c r="B1497">
        <v>1.278</v>
      </c>
    </row>
    <row r="1498" spans="1:2" x14ac:dyDescent="0.25">
      <c r="A1498" t="s">
        <v>1540</v>
      </c>
      <c r="B1498">
        <v>1208.3</v>
      </c>
    </row>
    <row r="1499" spans="1:2" x14ac:dyDescent="0.25">
      <c r="A1499" t="s">
        <v>1541</v>
      </c>
      <c r="B1499">
        <v>3.6640000000000002E-3</v>
      </c>
    </row>
    <row r="1500" spans="1:2" x14ac:dyDescent="0.25">
      <c r="A1500" t="s">
        <v>1542</v>
      </c>
      <c r="B1500">
        <v>0.1085</v>
      </c>
    </row>
    <row r="1501" spans="1:2" x14ac:dyDescent="0.25">
      <c r="A1501" t="s">
        <v>1543</v>
      </c>
      <c r="B1501">
        <v>5.8510000000000003E-3</v>
      </c>
    </row>
    <row r="1502" spans="1:2" x14ac:dyDescent="0.25">
      <c r="A1502" t="s">
        <v>1544</v>
      </c>
      <c r="B1502">
        <v>1.228</v>
      </c>
    </row>
    <row r="1503" spans="1:2" x14ac:dyDescent="0.25">
      <c r="A1503" t="s">
        <v>1545</v>
      </c>
      <c r="B1503">
        <v>1.1299999999999999</v>
      </c>
    </row>
    <row r="1504" spans="1:2" x14ac:dyDescent="0.25">
      <c r="A1504" t="s">
        <v>1546</v>
      </c>
      <c r="B1504">
        <v>1.5270000000000001E-2</v>
      </c>
    </row>
    <row r="1505" spans="1:2" x14ac:dyDescent="0.25">
      <c r="A1505" t="s">
        <v>1547</v>
      </c>
      <c r="B1505">
        <v>3965</v>
      </c>
    </row>
    <row r="1506" spans="1:2" x14ac:dyDescent="0.25">
      <c r="A1506" t="s">
        <v>1548</v>
      </c>
      <c r="B1506">
        <v>6.6899999999999998E-3</v>
      </c>
    </row>
    <row r="1507" spans="1:2" x14ac:dyDescent="0.25">
      <c r="A1507" t="s">
        <v>1549</v>
      </c>
      <c r="B1507">
        <v>1.4710000000000001</v>
      </c>
    </row>
    <row r="1508" spans="1:2" x14ac:dyDescent="0.25">
      <c r="A1508" t="s">
        <v>1550</v>
      </c>
      <c r="B1508">
        <v>2.7360000000000002</v>
      </c>
    </row>
    <row r="1509" spans="1:2" x14ac:dyDescent="0.25">
      <c r="A1509" t="s">
        <v>1551</v>
      </c>
      <c r="B1509">
        <v>1.8500000000000001E-6</v>
      </c>
    </row>
    <row r="1510" spans="1:2" x14ac:dyDescent="0.25">
      <c r="A1510" t="s">
        <v>1552</v>
      </c>
      <c r="B1510">
        <v>6.1799999999999995E-4</v>
      </c>
    </row>
    <row r="1511" spans="1:2" x14ac:dyDescent="0.25">
      <c r="A1511" t="s">
        <v>1553</v>
      </c>
      <c r="B1511">
        <v>0.13539999999999999</v>
      </c>
    </row>
    <row r="1512" spans="1:2" x14ac:dyDescent="0.25">
      <c r="A1512" t="s">
        <v>1554</v>
      </c>
      <c r="B1512">
        <v>0.1255</v>
      </c>
    </row>
    <row r="1513" spans="1:2" x14ac:dyDescent="0.25">
      <c r="A1513" t="s">
        <v>1555</v>
      </c>
      <c r="B1513">
        <v>3.762</v>
      </c>
    </row>
    <row r="1514" spans="1:2" x14ac:dyDescent="0.25">
      <c r="A1514" t="s">
        <v>1556</v>
      </c>
      <c r="B1514">
        <v>1.2141</v>
      </c>
    </row>
    <row r="1515" spans="1:2" x14ac:dyDescent="0.25">
      <c r="A1515" t="s">
        <v>1557</v>
      </c>
      <c r="B1515">
        <v>493.5</v>
      </c>
    </row>
    <row r="1516" spans="1:2" x14ac:dyDescent="0.25">
      <c r="A1516" t="s">
        <v>1558</v>
      </c>
      <c r="B1516">
        <v>5.6099999999999997E-2</v>
      </c>
    </row>
    <row r="1517" spans="1:2" x14ac:dyDescent="0.25">
      <c r="A1517" t="s">
        <v>1559</v>
      </c>
      <c r="B1517">
        <v>2.1479999999999999E-2</v>
      </c>
    </row>
    <row r="1518" spans="1:2" x14ac:dyDescent="0.25">
      <c r="A1518" t="s">
        <v>1560</v>
      </c>
      <c r="B1518">
        <v>0.45450000000000002</v>
      </c>
    </row>
    <row r="1519" spans="1:2" x14ac:dyDescent="0.25">
      <c r="A1519" t="s">
        <v>1561</v>
      </c>
      <c r="B1519">
        <v>5467</v>
      </c>
    </row>
    <row r="1520" spans="1:2" x14ac:dyDescent="0.25">
      <c r="A1520" t="s">
        <v>1562</v>
      </c>
      <c r="B1520">
        <v>0</v>
      </c>
    </row>
    <row r="1521" spans="1:2" x14ac:dyDescent="0.25">
      <c r="A1521" t="s">
        <v>1563</v>
      </c>
      <c r="B1521">
        <v>41.12</v>
      </c>
    </row>
    <row r="1522" spans="1:2" x14ac:dyDescent="0.25">
      <c r="A1522" t="s">
        <v>1564</v>
      </c>
      <c r="B1522">
        <v>3.1080000000000001E-5</v>
      </c>
    </row>
    <row r="1523" spans="1:2" x14ac:dyDescent="0.25">
      <c r="A1523" t="s">
        <v>1565</v>
      </c>
      <c r="B1523">
        <v>0</v>
      </c>
    </row>
    <row r="1524" spans="1:2" x14ac:dyDescent="0.25">
      <c r="A1524" t="s">
        <v>1566</v>
      </c>
      <c r="B1524">
        <v>4.2619999999999996</v>
      </c>
    </row>
    <row r="1525" spans="1:2" x14ac:dyDescent="0.25">
      <c r="A1525" t="s">
        <v>1567</v>
      </c>
      <c r="B1525">
        <v>2.1520000000000001</v>
      </c>
    </row>
    <row r="1526" spans="1:2" x14ac:dyDescent="0.25">
      <c r="A1526" t="s">
        <v>1568</v>
      </c>
      <c r="B1526">
        <v>2.1379999999999999E-4</v>
      </c>
    </row>
    <row r="1527" spans="1:2" x14ac:dyDescent="0.25">
      <c r="A1527" t="s">
        <v>1569</v>
      </c>
      <c r="B1527">
        <v>0</v>
      </c>
    </row>
    <row r="1528" spans="1:2" x14ac:dyDescent="0.25">
      <c r="A1528" t="s">
        <v>1570</v>
      </c>
      <c r="B1528">
        <v>15.73</v>
      </c>
    </row>
    <row r="1529" spans="1:2" x14ac:dyDescent="0.25">
      <c r="A1529" t="s">
        <v>1571</v>
      </c>
      <c r="B1529">
        <v>20.09</v>
      </c>
    </row>
    <row r="1530" spans="1:2" x14ac:dyDescent="0.25">
      <c r="A1530" t="s">
        <v>1572</v>
      </c>
      <c r="B1530">
        <v>7.38</v>
      </c>
    </row>
    <row r="1531" spans="1:2" x14ac:dyDescent="0.25">
      <c r="A1531" t="s">
        <v>1573</v>
      </c>
      <c r="B1531">
        <v>0</v>
      </c>
    </row>
    <row r="1532" spans="1:2" x14ac:dyDescent="0.25">
      <c r="A1532" t="s">
        <v>1574</v>
      </c>
      <c r="B1532">
        <v>0</v>
      </c>
    </row>
    <row r="1533" spans="1:2" x14ac:dyDescent="0.25">
      <c r="A1533" t="s">
        <v>1575</v>
      </c>
      <c r="B1533">
        <v>6.6310000000000002</v>
      </c>
    </row>
    <row r="1534" spans="1:2" x14ac:dyDescent="0.25">
      <c r="A1534" t="s">
        <v>1576</v>
      </c>
      <c r="B1534">
        <v>0</v>
      </c>
    </row>
    <row r="1535" spans="1:2" x14ac:dyDescent="0.25">
      <c r="A1535" t="s">
        <v>1577</v>
      </c>
      <c r="B1535">
        <v>0</v>
      </c>
    </row>
    <row r="1536" spans="1:2" x14ac:dyDescent="0.25">
      <c r="A1536" t="s">
        <v>1578</v>
      </c>
      <c r="B1536">
        <v>14.122999999999999</v>
      </c>
    </row>
    <row r="1537" spans="1:2" x14ac:dyDescent="0.25">
      <c r="A1537" t="s">
        <v>1579</v>
      </c>
      <c r="B1537">
        <v>5.5899999999999998E-2</v>
      </c>
    </row>
    <row r="1538" spans="1:2" x14ac:dyDescent="0.25">
      <c r="A1538" t="s">
        <v>1580</v>
      </c>
      <c r="B1538">
        <v>0.13339999999999999</v>
      </c>
    </row>
    <row r="1539" spans="1:2" x14ac:dyDescent="0.25">
      <c r="A1539" t="s">
        <v>1581</v>
      </c>
      <c r="B1539">
        <v>7.4000000000000001E-7</v>
      </c>
    </row>
    <row r="1540" spans="1:2" x14ac:dyDescent="0.25">
      <c r="A1540" t="s">
        <v>1582</v>
      </c>
      <c r="B1540">
        <v>0</v>
      </c>
    </row>
    <row r="1541" spans="1:2" x14ac:dyDescent="0.25">
      <c r="A1541" t="s">
        <v>1583</v>
      </c>
      <c r="B1541">
        <v>74.099999999999994</v>
      </c>
    </row>
    <row r="1542" spans="1:2" x14ac:dyDescent="0.25">
      <c r="A1542" t="s">
        <v>1584</v>
      </c>
      <c r="B1542">
        <v>0.17430000000000001</v>
      </c>
    </row>
    <row r="1543" spans="1:2" x14ac:dyDescent="0.25">
      <c r="A1543" t="s">
        <v>1585</v>
      </c>
      <c r="B1543">
        <v>0.1343</v>
      </c>
    </row>
    <row r="1544" spans="1:2" x14ac:dyDescent="0.25">
      <c r="A1544" t="s">
        <v>1586</v>
      </c>
      <c r="B1544">
        <v>8.0500000000000005E-4</v>
      </c>
    </row>
    <row r="1545" spans="1:2" x14ac:dyDescent="0.25">
      <c r="A1545" t="s">
        <v>1587</v>
      </c>
      <c r="B1545">
        <v>1.86E-6</v>
      </c>
    </row>
    <row r="1546" spans="1:2" x14ac:dyDescent="0.25">
      <c r="A1546" t="s">
        <v>1588</v>
      </c>
      <c r="B1546">
        <v>6.8999999999999996E-7</v>
      </c>
    </row>
    <row r="1547" spans="1:2" x14ac:dyDescent="0.25">
      <c r="A1547" t="s">
        <v>1589</v>
      </c>
      <c r="B1547">
        <v>2.6429999999999997E-4</v>
      </c>
    </row>
    <row r="1548" spans="1:2" x14ac:dyDescent="0.25">
      <c r="A1548" t="s">
        <v>1590</v>
      </c>
      <c r="B1548">
        <v>3.2820000000000002E-2</v>
      </c>
    </row>
    <row r="1549" spans="1:2" x14ac:dyDescent="0.25">
      <c r="A1549" t="s">
        <v>1591</v>
      </c>
      <c r="B1549">
        <v>6.4269999999999994E-2</v>
      </c>
    </row>
    <row r="1550" spans="1:2" x14ac:dyDescent="0.25">
      <c r="A1550" t="s">
        <v>1592</v>
      </c>
      <c r="B1550">
        <v>1.1620000000000001E-3</v>
      </c>
    </row>
    <row r="1551" spans="1:2" x14ac:dyDescent="0.25">
      <c r="A1551" t="s">
        <v>1593</v>
      </c>
      <c r="B1551">
        <v>0.40150000000000002</v>
      </c>
    </row>
    <row r="1552" spans="1:2" x14ac:dyDescent="0.25">
      <c r="A1552" t="s">
        <v>1594</v>
      </c>
      <c r="B1552">
        <v>85.5</v>
      </c>
    </row>
    <row r="1553" spans="1:2" x14ac:dyDescent="0.25">
      <c r="A1553" t="s">
        <v>1595</v>
      </c>
      <c r="B1553">
        <v>109.2</v>
      </c>
    </row>
    <row r="1554" spans="1:2" x14ac:dyDescent="0.25">
      <c r="A1554" t="s">
        <v>1596</v>
      </c>
      <c r="B1554">
        <v>7.6699999999999994E-6</v>
      </c>
    </row>
    <row r="1555" spans="1:2" x14ac:dyDescent="0.25">
      <c r="A1555" t="s">
        <v>1597</v>
      </c>
      <c r="B1555">
        <v>2.4740000000000001E-3</v>
      </c>
    </row>
    <row r="1556" spans="1:2" x14ac:dyDescent="0.25">
      <c r="A1556" t="s">
        <v>1598</v>
      </c>
      <c r="B1556">
        <v>0.51300000000000001</v>
      </c>
    </row>
    <row r="1557" spans="1:2" x14ac:dyDescent="0.25">
      <c r="A1557" t="s">
        <v>1599</v>
      </c>
      <c r="B1557">
        <v>0.71899999999999997</v>
      </c>
    </row>
    <row r="1558" spans="1:2" x14ac:dyDescent="0.25">
      <c r="A1558" t="s">
        <v>1600</v>
      </c>
      <c r="B1558">
        <v>3.1000000000000001E-5</v>
      </c>
    </row>
    <row r="1559" spans="1:2" x14ac:dyDescent="0.25">
      <c r="A1559" t="s">
        <v>1601</v>
      </c>
      <c r="B1559">
        <v>38.36</v>
      </c>
    </row>
    <row r="1560" spans="1:2" x14ac:dyDescent="0.25">
      <c r="A1560" t="s">
        <v>1602</v>
      </c>
      <c r="B1560">
        <v>8.66</v>
      </c>
    </row>
    <row r="1561" spans="1:2" x14ac:dyDescent="0.25">
      <c r="A1561" t="s">
        <v>1603</v>
      </c>
      <c r="B1561">
        <v>5.4050000000000001E-2</v>
      </c>
    </row>
    <row r="1562" spans="1:2" x14ac:dyDescent="0.25">
      <c r="A1562" t="s">
        <v>1604</v>
      </c>
      <c r="B1562">
        <v>6.37E-6</v>
      </c>
    </row>
    <row r="1563" spans="1:2" x14ac:dyDescent="0.25">
      <c r="A1563" t="s">
        <v>1605</v>
      </c>
      <c r="B1563">
        <v>1.6659999999999999E-3</v>
      </c>
    </row>
    <row r="1564" spans="1:2" x14ac:dyDescent="0.25">
      <c r="A1564" t="s">
        <v>1606</v>
      </c>
      <c r="B1564">
        <v>0.37790000000000001</v>
      </c>
    </row>
    <row r="1565" spans="1:2" x14ac:dyDescent="0.25">
      <c r="A1565" t="s">
        <v>1607</v>
      </c>
      <c r="B1565">
        <v>0.59799999999999998</v>
      </c>
    </row>
    <row r="1566" spans="1:2" x14ac:dyDescent="0.25">
      <c r="A1566" t="s">
        <v>1608</v>
      </c>
      <c r="B1566">
        <v>7.1219999999999999E-3</v>
      </c>
    </row>
    <row r="1567" spans="1:2" x14ac:dyDescent="0.25">
      <c r="A1567" t="s">
        <v>1609</v>
      </c>
      <c r="B1567">
        <v>0.1701</v>
      </c>
    </row>
    <row r="1568" spans="1:2" x14ac:dyDescent="0.25">
      <c r="A1568" t="s">
        <v>1610</v>
      </c>
      <c r="B1568">
        <v>5.0439999999999996</v>
      </c>
    </row>
    <row r="1569" spans="1:2" x14ac:dyDescent="0.25">
      <c r="A1569" t="s">
        <v>1611</v>
      </c>
      <c r="B1569">
        <v>7.5100000000000004E-4</v>
      </c>
    </row>
    <row r="1570" spans="1:2" x14ac:dyDescent="0.25">
      <c r="A1570" t="s">
        <v>1612</v>
      </c>
      <c r="B1570">
        <v>0</v>
      </c>
    </row>
    <row r="1571" spans="1:2" x14ac:dyDescent="0.25">
      <c r="A1571" t="s">
        <v>1613</v>
      </c>
      <c r="B1571">
        <v>21.12</v>
      </c>
    </row>
    <row r="1572" spans="1:2" x14ac:dyDescent="0.25">
      <c r="A1572" t="s">
        <v>1614</v>
      </c>
      <c r="B1572">
        <v>48.66</v>
      </c>
    </row>
    <row r="1573" spans="1:2" x14ac:dyDescent="0.25">
      <c r="A1573" t="s">
        <v>1615</v>
      </c>
      <c r="B1573">
        <v>2.34E-6</v>
      </c>
    </row>
    <row r="1574" spans="1:2" x14ac:dyDescent="0.25">
      <c r="A1574" t="s">
        <v>1616</v>
      </c>
      <c r="B1574">
        <v>0</v>
      </c>
    </row>
    <row r="1575" spans="1:2" x14ac:dyDescent="0.25">
      <c r="A1575" t="s">
        <v>1617</v>
      </c>
      <c r="B1575">
        <v>0.1439</v>
      </c>
    </row>
    <row r="1576" spans="1:2" x14ac:dyDescent="0.25">
      <c r="A1576" t="s">
        <v>1618</v>
      </c>
      <c r="B1576">
        <v>0.1734</v>
      </c>
    </row>
    <row r="1577" spans="1:2" x14ac:dyDescent="0.25">
      <c r="A1577" t="s">
        <v>1619</v>
      </c>
      <c r="B1577">
        <v>0.4788</v>
      </c>
    </row>
    <row r="1578" spans="1:2" x14ac:dyDescent="0.25">
      <c r="A1578" t="s">
        <v>1620</v>
      </c>
      <c r="B1578">
        <v>4.4060000000000002E-2</v>
      </c>
    </row>
    <row r="1579" spans="1:2" x14ac:dyDescent="0.25">
      <c r="A1579" t="s">
        <v>1621</v>
      </c>
      <c r="B1579">
        <v>0.55189999999999995</v>
      </c>
    </row>
    <row r="1580" spans="1:2" x14ac:dyDescent="0.25">
      <c r="A1580" t="s">
        <v>1622</v>
      </c>
      <c r="B1580">
        <v>2.0999999999999998E-6</v>
      </c>
    </row>
    <row r="1581" spans="1:2" x14ac:dyDescent="0.25">
      <c r="A1581" t="s">
        <v>1623</v>
      </c>
      <c r="B1581">
        <v>6.9200000000000002E-4</v>
      </c>
    </row>
    <row r="1582" spans="1:2" x14ac:dyDescent="0.25">
      <c r="A1582" t="s">
        <v>1624</v>
      </c>
      <c r="B1582">
        <v>0.20899999999999999</v>
      </c>
    </row>
    <row r="1583" spans="1:2" x14ac:dyDescent="0.25">
      <c r="A1583" t="s">
        <v>1625</v>
      </c>
      <c r="B1583">
        <v>0.1968</v>
      </c>
    </row>
    <row r="1584" spans="1:2" x14ac:dyDescent="0.25">
      <c r="A1584" t="s">
        <v>1626</v>
      </c>
      <c r="B1584">
        <v>2.5239999999999999E-5</v>
      </c>
    </row>
    <row r="1585" spans="1:2" x14ac:dyDescent="0.25">
      <c r="A1585" t="s">
        <v>1627</v>
      </c>
      <c r="B1585">
        <v>3.48E-4</v>
      </c>
    </row>
    <row r="1586" spans="1:2" x14ac:dyDescent="0.25">
      <c r="A1586" t="s">
        <v>1628</v>
      </c>
      <c r="B1586">
        <v>3.0599999999999998E-3</v>
      </c>
    </row>
    <row r="1587" spans="1:2" x14ac:dyDescent="0.25">
      <c r="A1587" t="s">
        <v>1629</v>
      </c>
      <c r="B1587">
        <v>0.125</v>
      </c>
    </row>
    <row r="1588" spans="1:2" x14ac:dyDescent="0.25">
      <c r="A1588" t="s">
        <v>1630</v>
      </c>
      <c r="B1588">
        <v>1.0720000000000001</v>
      </c>
    </row>
    <row r="1589" spans="1:2" x14ac:dyDescent="0.25">
      <c r="A1589" t="s">
        <v>1631</v>
      </c>
      <c r="B1589">
        <v>2.98</v>
      </c>
    </row>
    <row r="1590" spans="1:2" x14ac:dyDescent="0.25">
      <c r="A1590" t="s">
        <v>1632</v>
      </c>
      <c r="B1590">
        <v>1.7809999999999999</v>
      </c>
    </row>
    <row r="1591" spans="1:2" x14ac:dyDescent="0.25">
      <c r="A1591" t="s">
        <v>1633</v>
      </c>
      <c r="B1591">
        <v>4.2410000000000003E-2</v>
      </c>
    </row>
    <row r="1592" spans="1:2" x14ac:dyDescent="0.25">
      <c r="A1592" t="s">
        <v>1634</v>
      </c>
      <c r="B1592">
        <v>4.1700000000000001E-2</v>
      </c>
    </row>
    <row r="1593" spans="1:2" x14ac:dyDescent="0.25">
      <c r="A1593" t="s">
        <v>1635</v>
      </c>
      <c r="B1593">
        <v>1.706E-4</v>
      </c>
    </row>
    <row r="1594" spans="1:2" x14ac:dyDescent="0.25">
      <c r="A1594" t="s">
        <v>1636</v>
      </c>
      <c r="B1594">
        <v>4.4999999999999998E-7</v>
      </c>
    </row>
    <row r="1595" spans="1:2" x14ac:dyDescent="0.25">
      <c r="A1595" t="s">
        <v>1637</v>
      </c>
      <c r="B1595">
        <v>0</v>
      </c>
    </row>
    <row r="1596" spans="1:2" x14ac:dyDescent="0.25">
      <c r="A1596" t="s">
        <v>1638</v>
      </c>
      <c r="B1596">
        <v>0</v>
      </c>
    </row>
    <row r="1597" spans="1:2" x14ac:dyDescent="0.25">
      <c r="A1597" t="s">
        <v>1639</v>
      </c>
      <c r="B1597">
        <v>0.20569999999999999</v>
      </c>
    </row>
    <row r="1598" spans="1:2" x14ac:dyDescent="0.25">
      <c r="A1598" t="s">
        <v>1640</v>
      </c>
      <c r="B1598">
        <v>0.20180000000000001</v>
      </c>
    </row>
    <row r="1599" spans="1:2" x14ac:dyDescent="0.25">
      <c r="A1599" t="s">
        <v>1641</v>
      </c>
      <c r="B1599">
        <v>278.39999999999998</v>
      </c>
    </row>
    <row r="1600" spans="1:2" x14ac:dyDescent="0.25">
      <c r="A1600" t="s">
        <v>1642</v>
      </c>
      <c r="B1600">
        <v>0</v>
      </c>
    </row>
    <row r="1601" spans="1:2" x14ac:dyDescent="0.25">
      <c r="A1601" t="s">
        <v>1643</v>
      </c>
      <c r="B1601">
        <v>0</v>
      </c>
    </row>
    <row r="1602" spans="1:2" x14ac:dyDescent="0.25">
      <c r="A1602" t="s">
        <v>1644</v>
      </c>
      <c r="B1602">
        <v>0</v>
      </c>
    </row>
    <row r="1603" spans="1:2" x14ac:dyDescent="0.25">
      <c r="A1603" t="s">
        <v>1645</v>
      </c>
      <c r="B1603">
        <v>1.7783</v>
      </c>
    </row>
    <row r="1604" spans="1:2" x14ac:dyDescent="0.25">
      <c r="A1604" t="s">
        <v>1646</v>
      </c>
      <c r="B1604">
        <v>8.9599999999999996E-5</v>
      </c>
    </row>
    <row r="1605" spans="1:2" x14ac:dyDescent="0.25">
      <c r="A1605" t="s">
        <v>1647</v>
      </c>
      <c r="B1605">
        <v>1.353</v>
      </c>
    </row>
    <row r="1606" spans="1:2" x14ac:dyDescent="0.25">
      <c r="A1606" t="s">
        <v>1648</v>
      </c>
      <c r="B1606">
        <v>0.1129</v>
      </c>
    </row>
    <row r="1607" spans="1:2" x14ac:dyDescent="0.25">
      <c r="A1607" t="s">
        <v>1649</v>
      </c>
      <c r="B1607">
        <v>3.4619999999999997E-5</v>
      </c>
    </row>
    <row r="1608" spans="1:2" x14ac:dyDescent="0.25">
      <c r="A1608" t="s">
        <v>1650</v>
      </c>
      <c r="B1608">
        <v>1.3080000000000001</v>
      </c>
    </row>
    <row r="1609" spans="1:2" x14ac:dyDescent="0.25">
      <c r="A1609" t="s">
        <v>1651</v>
      </c>
      <c r="B1609">
        <v>28.48</v>
      </c>
    </row>
    <row r="1610" spans="1:2" x14ac:dyDescent="0.25">
      <c r="A1610" t="s">
        <v>1652</v>
      </c>
      <c r="B1610">
        <v>7835</v>
      </c>
    </row>
    <row r="1611" spans="1:2" x14ac:dyDescent="0.25">
      <c r="A1611" t="s">
        <v>1653</v>
      </c>
      <c r="B1611">
        <v>0.27</v>
      </c>
    </row>
    <row r="1612" spans="1:2" x14ac:dyDescent="0.25">
      <c r="A1612" t="s">
        <v>1654</v>
      </c>
      <c r="B1612">
        <v>0.44159999999999999</v>
      </c>
    </row>
    <row r="1613" spans="1:2" x14ac:dyDescent="0.25">
      <c r="A1613" t="s">
        <v>1655</v>
      </c>
      <c r="B1613">
        <v>1.5350999999999999</v>
      </c>
    </row>
    <row r="1614" spans="1:2" x14ac:dyDescent="0.25">
      <c r="A1614" t="s">
        <v>1656</v>
      </c>
      <c r="B1614">
        <v>3.7709999999999999</v>
      </c>
    </row>
    <row r="1615" spans="1:2" x14ac:dyDescent="0.25">
      <c r="A1615" t="s">
        <v>1657</v>
      </c>
      <c r="B1615">
        <v>3.333E-3</v>
      </c>
    </row>
    <row r="1616" spans="1:2" x14ac:dyDescent="0.25">
      <c r="A1616" t="s">
        <v>1658</v>
      </c>
      <c r="B1616">
        <v>1.6359999999999999E-5</v>
      </c>
    </row>
    <row r="1617" spans="1:2" x14ac:dyDescent="0.25">
      <c r="A1617" t="s">
        <v>1659</v>
      </c>
      <c r="B1617">
        <v>0.34029999999999999</v>
      </c>
    </row>
    <row r="1618" spans="1:2" x14ac:dyDescent="0.25">
      <c r="A1618" t="s">
        <v>1660</v>
      </c>
      <c r="B1618">
        <v>0.26960000000000001</v>
      </c>
    </row>
    <row r="1619" spans="1:2" x14ac:dyDescent="0.25">
      <c r="A1619" t="s">
        <v>1661</v>
      </c>
      <c r="B1619">
        <v>6.9129999999999997E-2</v>
      </c>
    </row>
    <row r="1620" spans="1:2" x14ac:dyDescent="0.25">
      <c r="A1620" t="s">
        <v>1662</v>
      </c>
      <c r="B1620">
        <v>3.2649999999999998E-2</v>
      </c>
    </row>
    <row r="1621" spans="1:2" x14ac:dyDescent="0.25">
      <c r="A1621" t="s">
        <v>1663</v>
      </c>
      <c r="B1621">
        <v>311087</v>
      </c>
    </row>
    <row r="1622" spans="1:2" x14ac:dyDescent="0.25">
      <c r="A1622" t="s">
        <v>1664</v>
      </c>
      <c r="B1622">
        <v>72500</v>
      </c>
    </row>
    <row r="1623" spans="1:2" x14ac:dyDescent="0.25">
      <c r="A1623" t="s">
        <v>1665</v>
      </c>
      <c r="B1623">
        <v>19435.03</v>
      </c>
    </row>
    <row r="1624" spans="1:2" x14ac:dyDescent="0.25">
      <c r="A1624" t="s">
        <v>1666</v>
      </c>
      <c r="B1624">
        <v>1344.37</v>
      </c>
    </row>
    <row r="1625" spans="1:2" x14ac:dyDescent="0.25">
      <c r="A1625" t="s">
        <v>1667</v>
      </c>
      <c r="B1625">
        <v>282.08999999999997</v>
      </c>
    </row>
    <row r="1626" spans="1:2" x14ac:dyDescent="0.25">
      <c r="A1626" t="s">
        <v>1668</v>
      </c>
      <c r="B1626">
        <v>1</v>
      </c>
    </row>
    <row r="1627" spans="1:2" x14ac:dyDescent="0.25">
      <c r="A1627" t="s">
        <v>1669</v>
      </c>
      <c r="B1627">
        <v>1.0031000000000001</v>
      </c>
    </row>
    <row r="1628" spans="1:2" x14ac:dyDescent="0.25">
      <c r="A1628" t="s">
        <v>1670</v>
      </c>
      <c r="B1628">
        <v>3.5099999999999999E-2</v>
      </c>
    </row>
    <row r="1629" spans="1:2" x14ac:dyDescent="0.25">
      <c r="A1629" t="s">
        <v>1671</v>
      </c>
      <c r="B1629">
        <v>2.9569999999999999E-2</v>
      </c>
    </row>
    <row r="1630" spans="1:2" x14ac:dyDescent="0.25">
      <c r="A1630" t="s">
        <v>1672</v>
      </c>
      <c r="B1630">
        <v>4.9589999999999998E-5</v>
      </c>
    </row>
    <row r="1631" spans="1:2" x14ac:dyDescent="0.25">
      <c r="A1631" t="s">
        <v>1673</v>
      </c>
      <c r="B1631">
        <v>3.7E-7</v>
      </c>
    </row>
    <row r="1632" spans="1:2" x14ac:dyDescent="0.25">
      <c r="A1632" t="s">
        <v>1674</v>
      </c>
      <c r="B1632">
        <v>3413</v>
      </c>
    </row>
    <row r="1633" spans="1:2" x14ac:dyDescent="0.25">
      <c r="A1633" t="s">
        <v>1675</v>
      </c>
      <c r="B1633">
        <v>0</v>
      </c>
    </row>
    <row r="1634" spans="1:2" x14ac:dyDescent="0.25">
      <c r="A1634" t="s">
        <v>1676</v>
      </c>
      <c r="B1634">
        <v>0</v>
      </c>
    </row>
    <row r="1635" spans="1:2" x14ac:dyDescent="0.25">
      <c r="A1635" t="s">
        <v>1677</v>
      </c>
      <c r="B1635">
        <v>0</v>
      </c>
    </row>
    <row r="1636" spans="1:2" x14ac:dyDescent="0.25">
      <c r="A1636" t="s">
        <v>1678</v>
      </c>
      <c r="B1636">
        <v>0</v>
      </c>
    </row>
    <row r="1637" spans="1:2" x14ac:dyDescent="0.25">
      <c r="A1637" t="s">
        <v>1679</v>
      </c>
      <c r="B1637">
        <v>5.4400000000000004E-3</v>
      </c>
    </row>
    <row r="1638" spans="1:2" x14ac:dyDescent="0.25">
      <c r="A1638" t="s">
        <v>1680</v>
      </c>
      <c r="B1638">
        <v>39.79</v>
      </c>
    </row>
    <row r="1639" spans="1:2" x14ac:dyDescent="0.25">
      <c r="A1639" t="s">
        <v>1681</v>
      </c>
      <c r="B1639">
        <v>39.06</v>
      </c>
    </row>
    <row r="1640" spans="1:2" x14ac:dyDescent="0.25">
      <c r="A1640" t="s">
        <v>1682</v>
      </c>
      <c r="B1640">
        <v>0.17899999999999999</v>
      </c>
    </row>
    <row r="1641" spans="1:2" x14ac:dyDescent="0.25">
      <c r="A1641" t="s">
        <v>1683</v>
      </c>
      <c r="B1641">
        <v>4.2299999999999998E-4</v>
      </c>
    </row>
    <row r="1642" spans="1:2" x14ac:dyDescent="0.25">
      <c r="A1642" t="s">
        <v>1684</v>
      </c>
      <c r="B1642">
        <v>4.5398000000000001E-2</v>
      </c>
    </row>
    <row r="1643" spans="1:2" x14ac:dyDescent="0.25">
      <c r="A1643" t="s">
        <v>1685</v>
      </c>
      <c r="B1643">
        <v>0.50309999999999999</v>
      </c>
    </row>
    <row r="1644" spans="1:2" x14ac:dyDescent="0.25">
      <c r="A1644" t="s">
        <v>1686</v>
      </c>
      <c r="B1644">
        <v>0.40529999999999999</v>
      </c>
    </row>
    <row r="1645" spans="1:2" x14ac:dyDescent="0.25">
      <c r="A1645" t="s">
        <v>1687</v>
      </c>
      <c r="B1645">
        <v>6.87E-4</v>
      </c>
    </row>
    <row r="1646" spans="1:2" x14ac:dyDescent="0.25">
      <c r="A1646" t="s">
        <v>1688</v>
      </c>
      <c r="B1646">
        <v>5.3700000000000003E-6</v>
      </c>
    </row>
    <row r="1647" spans="1:2" x14ac:dyDescent="0.25">
      <c r="A1647" t="s">
        <v>1689</v>
      </c>
      <c r="B1647">
        <v>0.67559999999999998</v>
      </c>
    </row>
    <row r="1648" spans="1:2" x14ac:dyDescent="0.25">
      <c r="A1648" t="s">
        <v>1690</v>
      </c>
      <c r="B1648">
        <v>0.1169</v>
      </c>
    </row>
    <row r="1649" spans="1:2" x14ac:dyDescent="0.25">
      <c r="A1649" t="s">
        <v>1691</v>
      </c>
      <c r="B1649">
        <v>9.0289999999999995E-2</v>
      </c>
    </row>
    <row r="1650" spans="1:2" x14ac:dyDescent="0.25">
      <c r="A1650" t="s">
        <v>1692</v>
      </c>
      <c r="B1650">
        <v>194.28</v>
      </c>
    </row>
    <row r="1651" spans="1:2" x14ac:dyDescent="0.25">
      <c r="A1651" t="s">
        <v>1693</v>
      </c>
      <c r="B1651">
        <v>4.9279999999999999</v>
      </c>
    </row>
    <row r="1652" spans="1:2" x14ac:dyDescent="0.25">
      <c r="A1652" t="s">
        <v>1694</v>
      </c>
      <c r="B1652">
        <v>3191</v>
      </c>
    </row>
    <row r="1653" spans="1:2" x14ac:dyDescent="0.25">
      <c r="A1653" t="s">
        <v>1695</v>
      </c>
      <c r="B1653">
        <v>0.49149999999999999</v>
      </c>
    </row>
    <row r="1654" spans="1:2" x14ac:dyDescent="0.25">
      <c r="A1654" t="s">
        <v>1696</v>
      </c>
      <c r="B1654">
        <v>4.6600000000000003E-2</v>
      </c>
    </row>
    <row r="1655" spans="1:2" x14ac:dyDescent="0.25">
      <c r="A1655" t="s">
        <v>1697</v>
      </c>
      <c r="B1655">
        <v>0.84399999999999997</v>
      </c>
    </row>
    <row r="1656" spans="1:2" x14ac:dyDescent="0.25">
      <c r="A1656" t="s">
        <v>1698</v>
      </c>
      <c r="B1656">
        <v>266752</v>
      </c>
    </row>
    <row r="1657" spans="1:2" x14ac:dyDescent="0.25">
      <c r="A1657" t="s">
        <v>1699</v>
      </c>
      <c r="B1657">
        <v>29103</v>
      </c>
    </row>
    <row r="1658" spans="1:2" x14ac:dyDescent="0.25">
      <c r="A1658" t="s">
        <v>1700</v>
      </c>
      <c r="B1658">
        <v>0.255</v>
      </c>
    </row>
    <row r="1659" spans="1:2" x14ac:dyDescent="0.25">
      <c r="A1659" t="s">
        <v>1701</v>
      </c>
      <c r="B1659">
        <v>0.1782</v>
      </c>
    </row>
    <row r="1660" spans="1:2" x14ac:dyDescent="0.25">
      <c r="A1660" t="s">
        <v>1702</v>
      </c>
      <c r="B1660">
        <v>0</v>
      </c>
    </row>
    <row r="1661" spans="1:2" x14ac:dyDescent="0.25">
      <c r="A1661" t="s">
        <v>1703</v>
      </c>
      <c r="B1661">
        <v>2.7099999999999999E-6</v>
      </c>
    </row>
    <row r="1662" spans="1:2" x14ac:dyDescent="0.25">
      <c r="A1662" t="s">
        <v>1704</v>
      </c>
      <c r="B1662">
        <v>7.0699999999999995E-4</v>
      </c>
    </row>
    <row r="1663" spans="1:2" x14ac:dyDescent="0.25">
      <c r="A1663" t="s">
        <v>1705</v>
      </c>
      <c r="B1663">
        <v>0.88</v>
      </c>
    </row>
    <row r="1664" spans="1:2" x14ac:dyDescent="0.25">
      <c r="A1664" t="s">
        <v>1706</v>
      </c>
      <c r="B1664">
        <v>3.39E-2</v>
      </c>
    </row>
    <row r="1665" spans="1:2" x14ac:dyDescent="0.25">
      <c r="A1665" t="s">
        <v>1707</v>
      </c>
      <c r="B1665">
        <v>3.048E-5</v>
      </c>
    </row>
    <row r="1666" spans="1:2" x14ac:dyDescent="0.25">
      <c r="A1666" t="s">
        <v>1708</v>
      </c>
      <c r="B1666">
        <v>0</v>
      </c>
    </row>
    <row r="1667" spans="1:2" x14ac:dyDescent="0.25">
      <c r="A1667" t="s">
        <v>1709</v>
      </c>
      <c r="B1667">
        <v>0.82699999999999996</v>
      </c>
    </row>
    <row r="1668" spans="1:2" x14ac:dyDescent="0.25">
      <c r="A1668" t="s">
        <v>1710</v>
      </c>
      <c r="B1668">
        <v>2.8490000000000002</v>
      </c>
    </row>
    <row r="1669" spans="1:2" x14ac:dyDescent="0.25">
      <c r="A1669" t="s">
        <v>1711</v>
      </c>
      <c r="B1669">
        <v>1.3869999999999999E-5</v>
      </c>
    </row>
    <row r="1670" spans="1:2" x14ac:dyDescent="0.25">
      <c r="A1670" t="s">
        <v>1712</v>
      </c>
      <c r="B1670">
        <v>1.0319999999999999E-2</v>
      </c>
    </row>
    <row r="1671" spans="1:2" x14ac:dyDescent="0.25">
      <c r="A1671" t="s">
        <v>1713</v>
      </c>
      <c r="B1671">
        <v>1.321</v>
      </c>
    </row>
    <row r="1672" spans="1:2" x14ac:dyDescent="0.25">
      <c r="A1672" t="s">
        <v>1714</v>
      </c>
      <c r="B1672">
        <v>1.3169999999999999</v>
      </c>
    </row>
    <row r="1673" spans="1:2" x14ac:dyDescent="0.25">
      <c r="A1673" t="s">
        <v>1715</v>
      </c>
      <c r="B1673">
        <v>0</v>
      </c>
    </row>
    <row r="1674" spans="1:2" x14ac:dyDescent="0.25">
      <c r="A1674" t="s">
        <v>1716</v>
      </c>
      <c r="B1674">
        <v>0.27579999999999999</v>
      </c>
    </row>
    <row r="1675" spans="1:2" x14ac:dyDescent="0.25">
      <c r="A1675" t="s">
        <v>1717</v>
      </c>
      <c r="B1675">
        <v>4.1849999999999998E-2</v>
      </c>
    </row>
    <row r="1676" spans="1:2" x14ac:dyDescent="0.25">
      <c r="A1676" t="s">
        <v>1718</v>
      </c>
      <c r="B1676">
        <v>6.7000000000000004E-7</v>
      </c>
    </row>
    <row r="1677" spans="1:2" x14ac:dyDescent="0.25">
      <c r="A1677" t="s">
        <v>1719</v>
      </c>
      <c r="B1677">
        <v>3.3500000000000001E-4</v>
      </c>
    </row>
    <row r="1678" spans="1:2" x14ac:dyDescent="0.25">
      <c r="A1678" t="s">
        <v>1720</v>
      </c>
      <c r="B1678">
        <v>6.3539999999999999E-2</v>
      </c>
    </row>
    <row r="1679" spans="1:2" x14ac:dyDescent="0.25">
      <c r="A1679" t="s">
        <v>1721</v>
      </c>
      <c r="B1679">
        <v>5.04E-2</v>
      </c>
    </row>
    <row r="1680" spans="1:2" x14ac:dyDescent="0.25">
      <c r="A1680" t="s">
        <v>1722</v>
      </c>
      <c r="B1680">
        <v>1.1209999999999999E-5</v>
      </c>
    </row>
    <row r="1681" spans="1:2" x14ac:dyDescent="0.25">
      <c r="A1681" t="s">
        <v>1723</v>
      </c>
      <c r="B1681">
        <v>1.22E-6</v>
      </c>
    </row>
    <row r="1682" spans="1:2" x14ac:dyDescent="0.25">
      <c r="A1682" t="s">
        <v>1724</v>
      </c>
      <c r="B1682">
        <v>6.9099999999999999E-4</v>
      </c>
    </row>
    <row r="1683" spans="1:2" x14ac:dyDescent="0.25">
      <c r="A1683" t="s">
        <v>1725</v>
      </c>
      <c r="B1683">
        <v>5.96E-2</v>
      </c>
    </row>
    <row r="1684" spans="1:2" x14ac:dyDescent="0.25">
      <c r="A1684" t="s">
        <v>1726</v>
      </c>
      <c r="B1684">
        <v>0.1153</v>
      </c>
    </row>
    <row r="1685" spans="1:2" x14ac:dyDescent="0.25">
      <c r="A1685" t="s">
        <v>1727</v>
      </c>
      <c r="B1685">
        <v>228.3</v>
      </c>
    </row>
    <row r="1686" spans="1:2" x14ac:dyDescent="0.25">
      <c r="A1686" t="s">
        <v>1728</v>
      </c>
      <c r="B1686">
        <v>17.91</v>
      </c>
    </row>
    <row r="1687" spans="1:2" x14ac:dyDescent="0.25">
      <c r="A1687" t="s">
        <v>1729</v>
      </c>
      <c r="B1687">
        <v>0</v>
      </c>
    </row>
    <row r="1688" spans="1:2" x14ac:dyDescent="0.25">
      <c r="A1688" t="s">
        <v>1730</v>
      </c>
      <c r="B1688">
        <v>2.2690000000000002E-3</v>
      </c>
    </row>
    <row r="1689" spans="1:2" x14ac:dyDescent="0.25">
      <c r="A1689" t="s">
        <v>1731</v>
      </c>
      <c r="B1689">
        <v>1.864E-3</v>
      </c>
    </row>
    <row r="1690" spans="1:2" x14ac:dyDescent="0.25">
      <c r="A1690" t="s">
        <v>1732</v>
      </c>
      <c r="B1690">
        <v>2.1829999999999999E-4</v>
      </c>
    </row>
    <row r="1691" spans="1:2" x14ac:dyDescent="0.25">
      <c r="A1691" t="s">
        <v>1733</v>
      </c>
      <c r="B1691">
        <v>5.7320000000000003E-2</v>
      </c>
    </row>
    <row r="1692" spans="1:2" x14ac:dyDescent="0.25">
      <c r="A1692" t="s">
        <v>1734</v>
      </c>
      <c r="B1692">
        <v>2.7599999999999999E-4</v>
      </c>
    </row>
    <row r="1693" spans="1:2" x14ac:dyDescent="0.25">
      <c r="A1693" t="s">
        <v>1735</v>
      </c>
      <c r="B1693">
        <v>7.685E-3</v>
      </c>
    </row>
    <row r="1694" spans="1:2" x14ac:dyDescent="0.25">
      <c r="A1694" t="s">
        <v>1736</v>
      </c>
      <c r="B1694">
        <v>55.63</v>
      </c>
    </row>
    <row r="1695" spans="1:2" x14ac:dyDescent="0.25">
      <c r="A1695" t="s">
        <v>1737</v>
      </c>
      <c r="B1695">
        <v>2.548</v>
      </c>
    </row>
    <row r="1696" spans="1:2" x14ac:dyDescent="0.25">
      <c r="A1696" t="s">
        <v>1738</v>
      </c>
      <c r="B1696">
        <v>3.9950000000000002E-5</v>
      </c>
    </row>
    <row r="1697" spans="1:2" x14ac:dyDescent="0.25">
      <c r="A1697" t="s">
        <v>1739</v>
      </c>
      <c r="B1697">
        <v>1.571</v>
      </c>
    </row>
    <row r="1698" spans="1:2" x14ac:dyDescent="0.25">
      <c r="A1698" t="s">
        <v>1740</v>
      </c>
      <c r="B1698">
        <v>2.7199999999999998E-6</v>
      </c>
    </row>
    <row r="1699" spans="1:2" x14ac:dyDescent="0.25">
      <c r="A1699" t="s">
        <v>1741</v>
      </c>
      <c r="B1699">
        <v>0</v>
      </c>
    </row>
    <row r="1700" spans="1:2" x14ac:dyDescent="0.25">
      <c r="A1700" t="s">
        <v>1742</v>
      </c>
      <c r="B1700">
        <v>0.12</v>
      </c>
    </row>
    <row r="1701" spans="1:2" x14ac:dyDescent="0.25">
      <c r="A1701" t="s">
        <v>1743</v>
      </c>
      <c r="B1701">
        <v>0.19719999999999999</v>
      </c>
    </row>
    <row r="1702" spans="1:2" x14ac:dyDescent="0.25">
      <c r="A1702" t="s">
        <v>1744</v>
      </c>
      <c r="B1702">
        <v>0.42</v>
      </c>
    </row>
    <row r="1703" spans="1:2" x14ac:dyDescent="0.25">
      <c r="A1703" t="s">
        <v>1745</v>
      </c>
      <c r="B1703">
        <v>1.923</v>
      </c>
    </row>
    <row r="1704" spans="1:2" x14ac:dyDescent="0.25">
      <c r="A1704" t="s">
        <v>1746</v>
      </c>
      <c r="B1704">
        <v>0.26290000000000002</v>
      </c>
    </row>
    <row r="1705" spans="1:2" x14ac:dyDescent="0.25">
      <c r="A1705" t="s">
        <v>1747</v>
      </c>
      <c r="B1705">
        <v>0.22750000000000001</v>
      </c>
    </row>
    <row r="1706" spans="1:2" x14ac:dyDescent="0.25">
      <c r="A1706" t="s">
        <v>1748</v>
      </c>
      <c r="B1706">
        <v>17.399999999999999</v>
      </c>
    </row>
    <row r="1707" spans="1:2" x14ac:dyDescent="0.25">
      <c r="A1707" t="s">
        <v>1749</v>
      </c>
      <c r="B1707">
        <v>0.47</v>
      </c>
    </row>
    <row r="1708" spans="1:2" x14ac:dyDescent="0.25">
      <c r="A1708" t="s">
        <v>1750</v>
      </c>
      <c r="B1708">
        <v>36.85</v>
      </c>
    </row>
    <row r="1709" spans="1:2" x14ac:dyDescent="0.25">
      <c r="A1709" t="s">
        <v>1751</v>
      </c>
      <c r="B1709">
        <v>0</v>
      </c>
    </row>
    <row r="1710" spans="1:2" x14ac:dyDescent="0.25">
      <c r="A1710" t="s">
        <v>1752</v>
      </c>
      <c r="B1710">
        <v>0</v>
      </c>
    </row>
    <row r="1711" spans="1:2" x14ac:dyDescent="0.25">
      <c r="A1711" t="s">
        <v>1753</v>
      </c>
      <c r="B1711">
        <v>2.349E-2</v>
      </c>
    </row>
    <row r="1712" spans="1:2" x14ac:dyDescent="0.25">
      <c r="A1712" t="s">
        <v>1754</v>
      </c>
      <c r="B1712">
        <v>0</v>
      </c>
    </row>
    <row r="1713" spans="1:2" x14ac:dyDescent="0.25">
      <c r="A1713" t="s">
        <v>1755</v>
      </c>
      <c r="B1713">
        <v>6.7600000000000003E-5</v>
      </c>
    </row>
    <row r="1714" spans="1:2" x14ac:dyDescent="0.25">
      <c r="A1714" t="s">
        <v>1756</v>
      </c>
      <c r="B1714">
        <v>0.1895</v>
      </c>
    </row>
    <row r="1715" spans="1:2" x14ac:dyDescent="0.25">
      <c r="A1715" t="s">
        <v>1757</v>
      </c>
      <c r="B1715">
        <v>7.9949999999999993E-2</v>
      </c>
    </row>
    <row r="1716" spans="1:2" x14ac:dyDescent="0.25">
      <c r="A1716" t="s">
        <v>1758</v>
      </c>
      <c r="B1716">
        <v>3.7248000000000001E-4</v>
      </c>
    </row>
    <row r="1717" spans="1:2" x14ac:dyDescent="0.25">
      <c r="A1717" t="s">
        <v>1759</v>
      </c>
      <c r="B1717">
        <v>1.57E-6</v>
      </c>
    </row>
    <row r="1718" spans="1:2" x14ac:dyDescent="0.25">
      <c r="A1718" t="s">
        <v>1760</v>
      </c>
      <c r="B1718">
        <v>4.3900000000000003E-6</v>
      </c>
    </row>
    <row r="1719" spans="1:2" x14ac:dyDescent="0.25">
      <c r="A1719" t="s">
        <v>1761</v>
      </c>
      <c r="B1719">
        <v>1.227E-3</v>
      </c>
    </row>
    <row r="1720" spans="1:2" x14ac:dyDescent="0.25">
      <c r="A1720" t="s">
        <v>1762</v>
      </c>
      <c r="B1720">
        <v>0.27429999999999999</v>
      </c>
    </row>
    <row r="1721" spans="1:2" x14ac:dyDescent="0.25">
      <c r="A1721" t="s">
        <v>1763</v>
      </c>
      <c r="B1721">
        <v>0.4128</v>
      </c>
    </row>
    <row r="1722" spans="1:2" x14ac:dyDescent="0.25">
      <c r="A1722" t="s">
        <v>1764</v>
      </c>
      <c r="B1722">
        <v>0</v>
      </c>
    </row>
    <row r="1723" spans="1:2" x14ac:dyDescent="0.25">
      <c r="A1723" t="s">
        <v>1765</v>
      </c>
      <c r="B1723">
        <v>0</v>
      </c>
    </row>
    <row r="1724" spans="1:2" x14ac:dyDescent="0.25">
      <c r="A1724" t="s">
        <v>1766</v>
      </c>
      <c r="B1724">
        <v>0</v>
      </c>
    </row>
    <row r="1725" spans="1:2" x14ac:dyDescent="0.25">
      <c r="A1725" t="s">
        <v>1767</v>
      </c>
      <c r="B1725">
        <v>0</v>
      </c>
    </row>
    <row r="1726" spans="1:2" x14ac:dyDescent="0.25">
      <c r="A1726" t="s">
        <v>1768</v>
      </c>
      <c r="B1726">
        <v>1.6439999999999999</v>
      </c>
    </row>
    <row r="1727" spans="1:2" x14ac:dyDescent="0.25">
      <c r="A1727" t="s">
        <v>1769</v>
      </c>
      <c r="B1727">
        <v>5.1299999999999998E-2</v>
      </c>
    </row>
    <row r="1728" spans="1:2" x14ac:dyDescent="0.25">
      <c r="A1728" t="s">
        <v>1770</v>
      </c>
      <c r="B1728">
        <v>17.14</v>
      </c>
    </row>
    <row r="1729" spans="1:2" x14ac:dyDescent="0.25">
      <c r="A1729" t="s">
        <v>1771</v>
      </c>
      <c r="B1729">
        <v>12.6</v>
      </c>
    </row>
    <row r="1730" spans="1:2" x14ac:dyDescent="0.25">
      <c r="A1730" t="s">
        <v>1772</v>
      </c>
      <c r="B1730">
        <v>0</v>
      </c>
    </row>
    <row r="1731" spans="1:2" x14ac:dyDescent="0.25">
      <c r="A1731" t="s">
        <v>1773</v>
      </c>
      <c r="B1731">
        <v>0</v>
      </c>
    </row>
    <row r="1732" spans="1:2" x14ac:dyDescent="0.25">
      <c r="A1732" t="s">
        <v>1774</v>
      </c>
      <c r="B1732">
        <v>0.64770000000000005</v>
      </c>
    </row>
    <row r="1733" spans="1:2" x14ac:dyDescent="0.25">
      <c r="A1733" t="s">
        <v>1775</v>
      </c>
      <c r="B1733">
        <v>1.37E-4</v>
      </c>
    </row>
    <row r="1734" spans="1:2" x14ac:dyDescent="0.25">
      <c r="A1734" t="s">
        <v>1776</v>
      </c>
      <c r="B1734">
        <v>0</v>
      </c>
    </row>
    <row r="1735" spans="1:2" x14ac:dyDescent="0.25">
      <c r="A1735" t="s">
        <v>1777</v>
      </c>
      <c r="B1735">
        <v>3.69</v>
      </c>
    </row>
    <row r="1736" spans="1:2" x14ac:dyDescent="0.25">
      <c r="A1736" t="s">
        <v>1778</v>
      </c>
      <c r="B1736">
        <v>12.821999999999999</v>
      </c>
    </row>
    <row r="1737" spans="1:2" x14ac:dyDescent="0.25">
      <c r="A1737" t="s">
        <v>1779</v>
      </c>
      <c r="B1737">
        <v>6.0300000000000002E-5</v>
      </c>
    </row>
    <row r="1738" spans="1:2" x14ac:dyDescent="0.25">
      <c r="A1738" t="s">
        <v>1780</v>
      </c>
      <c r="B1738">
        <v>1.4540000000000001E-2</v>
      </c>
    </row>
    <row r="1739" spans="1:2" x14ac:dyDescent="0.25">
      <c r="A1739" t="s">
        <v>1781</v>
      </c>
      <c r="B1739">
        <v>2.964</v>
      </c>
    </row>
    <row r="1740" spans="1:2" x14ac:dyDescent="0.25">
      <c r="A1740" t="s">
        <v>1782</v>
      </c>
      <c r="B1740">
        <v>1.9370000000000001</v>
      </c>
    </row>
    <row r="1741" spans="1:2" x14ac:dyDescent="0.25">
      <c r="A1741" t="s">
        <v>1783</v>
      </c>
      <c r="B1741">
        <v>3.592E-4</v>
      </c>
    </row>
    <row r="1742" spans="1:2" x14ac:dyDescent="0.25">
      <c r="A1742" t="s">
        <v>1784</v>
      </c>
      <c r="B1742">
        <v>3.091E-2</v>
      </c>
    </row>
    <row r="1743" spans="1:2" x14ac:dyDescent="0.25">
      <c r="A1743" t="s">
        <v>1785</v>
      </c>
      <c r="B1743">
        <v>6.96</v>
      </c>
    </row>
    <row r="1744" spans="1:2" x14ac:dyDescent="0.25">
      <c r="A1744" t="s">
        <v>1786</v>
      </c>
      <c r="B1744">
        <v>33.729999999999997</v>
      </c>
    </row>
    <row r="1745" spans="1:2" x14ac:dyDescent="0.25">
      <c r="A1745" t="s">
        <v>1787</v>
      </c>
      <c r="B1745">
        <v>1.4660000000000001E-4</v>
      </c>
    </row>
    <row r="1746" spans="1:2" x14ac:dyDescent="0.25">
      <c r="A1746" t="s">
        <v>1788</v>
      </c>
      <c r="B1746">
        <v>2.0110000000000002E-3</v>
      </c>
    </row>
    <row r="1747" spans="1:2" x14ac:dyDescent="0.25">
      <c r="A1747" t="s">
        <v>1789</v>
      </c>
      <c r="B1747">
        <v>1.616E-4</v>
      </c>
    </row>
    <row r="1748" spans="1:2" x14ac:dyDescent="0.25">
      <c r="A1748" t="s">
        <v>1790</v>
      </c>
      <c r="B1748">
        <v>1.9060000000000001E-2</v>
      </c>
    </row>
    <row r="1749" spans="1:2" x14ac:dyDescent="0.25">
      <c r="A1749" t="s">
        <v>1791</v>
      </c>
      <c r="B1749">
        <v>19.71</v>
      </c>
    </row>
    <row r="1750" spans="1:2" x14ac:dyDescent="0.25">
      <c r="A1750" t="s">
        <v>1792</v>
      </c>
      <c r="B1750">
        <v>1.661</v>
      </c>
    </row>
    <row r="1751" spans="1:2" x14ac:dyDescent="0.25">
      <c r="A1751" t="s">
        <v>1793</v>
      </c>
      <c r="B1751">
        <v>16.48</v>
      </c>
    </row>
    <row r="1752" spans="1:2" x14ac:dyDescent="0.25">
      <c r="A1752" t="s">
        <v>1794</v>
      </c>
      <c r="B1752">
        <v>1.686E-2</v>
      </c>
    </row>
    <row r="1753" spans="1:2" x14ac:dyDescent="0.25">
      <c r="A1753" t="s">
        <v>1795</v>
      </c>
      <c r="B1753">
        <v>5.0699999999999999E-3</v>
      </c>
    </row>
    <row r="1754" spans="1:2" x14ac:dyDescent="0.25">
      <c r="A1754" t="s">
        <v>1796</v>
      </c>
      <c r="B1754">
        <v>0</v>
      </c>
    </row>
    <row r="1755" spans="1:2" x14ac:dyDescent="0.25">
      <c r="A1755" t="s">
        <v>1797</v>
      </c>
      <c r="B1755">
        <v>1.8E-7</v>
      </c>
    </row>
    <row r="1756" spans="1:2" x14ac:dyDescent="0.25">
      <c r="A1756" t="s">
        <v>1798</v>
      </c>
      <c r="B1756">
        <v>2.103E-5</v>
      </c>
    </row>
    <row r="1757" spans="1:2" x14ac:dyDescent="0.25">
      <c r="A1757" t="s">
        <v>1799</v>
      </c>
      <c r="B1757">
        <v>1.57</v>
      </c>
    </row>
    <row r="1758" spans="1:2" x14ac:dyDescent="0.25">
      <c r="A1758" t="s">
        <v>1800</v>
      </c>
      <c r="B1758">
        <v>55.48</v>
      </c>
    </row>
    <row r="1759" spans="1:2" x14ac:dyDescent="0.25">
      <c r="A1759" t="s">
        <v>1801</v>
      </c>
      <c r="B1759">
        <v>2.7149999999999999</v>
      </c>
    </row>
    <row r="1760" spans="1:2" x14ac:dyDescent="0.25">
      <c r="A1760" t="s">
        <v>1802</v>
      </c>
      <c r="B1760">
        <v>0.2611</v>
      </c>
    </row>
    <row r="1761" spans="1:2" x14ac:dyDescent="0.25">
      <c r="A1761" t="s">
        <v>1803</v>
      </c>
      <c r="B1761">
        <v>0.15040000000000001</v>
      </c>
    </row>
    <row r="1762" spans="1:2" x14ac:dyDescent="0.25">
      <c r="A1762" t="s">
        <v>1804</v>
      </c>
      <c r="B1762">
        <v>1.0829999999999999E-2</v>
      </c>
    </row>
    <row r="1763" spans="1:2" x14ac:dyDescent="0.25">
      <c r="A1763" t="s">
        <v>1805</v>
      </c>
      <c r="B1763">
        <v>0.1326</v>
      </c>
    </row>
    <row r="1764" spans="1:2" x14ac:dyDescent="0.25">
      <c r="A1764" t="s">
        <v>1806</v>
      </c>
      <c r="B1764">
        <v>0</v>
      </c>
    </row>
    <row r="1765" spans="1:2" x14ac:dyDescent="0.25">
      <c r="A1765" t="s">
        <v>1807</v>
      </c>
      <c r="B1765">
        <v>7.157</v>
      </c>
    </row>
    <row r="1766" spans="1:2" x14ac:dyDescent="0.25">
      <c r="A1766" t="s">
        <v>1808</v>
      </c>
      <c r="B1766">
        <v>7.08E-5</v>
      </c>
    </row>
    <row r="1767" spans="1:2" x14ac:dyDescent="0.25">
      <c r="A1767" t="s">
        <v>1809</v>
      </c>
      <c r="B1767">
        <v>0</v>
      </c>
    </row>
    <row r="1768" spans="1:2" x14ac:dyDescent="0.25">
      <c r="A1768" t="s">
        <v>1810</v>
      </c>
      <c r="B1768">
        <v>1.7999999999999999E-2</v>
      </c>
    </row>
    <row r="1769" spans="1:2" x14ac:dyDescent="0.25">
      <c r="A1769" t="s">
        <v>1811</v>
      </c>
      <c r="B1769">
        <v>1.04E-5</v>
      </c>
    </row>
    <row r="1770" spans="1:2" x14ac:dyDescent="0.25">
      <c r="A1770" t="s">
        <v>1812</v>
      </c>
      <c r="B1770">
        <v>3.2820000000000002E-2</v>
      </c>
    </row>
    <row r="1771" spans="1:2" x14ac:dyDescent="0.25">
      <c r="A1771" t="s">
        <v>1813</v>
      </c>
      <c r="B1771">
        <v>3.5929999999999998E-3</v>
      </c>
    </row>
    <row r="1772" spans="1:2" x14ac:dyDescent="0.25">
      <c r="A1772" t="s">
        <v>1814</v>
      </c>
      <c r="B1772">
        <v>1.7669999999999999E-5</v>
      </c>
    </row>
    <row r="1773" spans="1:2" x14ac:dyDescent="0.25">
      <c r="A1773" t="s">
        <v>1815</v>
      </c>
      <c r="B1773">
        <v>1.6999999999999999E-7</v>
      </c>
    </row>
    <row r="1774" spans="1:2" x14ac:dyDescent="0.25">
      <c r="A1774" t="s">
        <v>1816</v>
      </c>
      <c r="B1774">
        <v>9.9999999999999995E-8</v>
      </c>
    </row>
    <row r="1775" spans="1:2" x14ac:dyDescent="0.25">
      <c r="A1775" t="s">
        <v>1817</v>
      </c>
      <c r="B1775">
        <v>0</v>
      </c>
    </row>
    <row r="1776" spans="1:2" x14ac:dyDescent="0.25">
      <c r="A1776" t="s">
        <v>1818</v>
      </c>
      <c r="B1776">
        <v>1.4289999999999999E-3</v>
      </c>
    </row>
    <row r="1777" spans="1:2" x14ac:dyDescent="0.25">
      <c r="A1777" t="s">
        <v>1819</v>
      </c>
      <c r="B1777">
        <v>7.7260000000000002E-3</v>
      </c>
    </row>
    <row r="1778" spans="1:2" x14ac:dyDescent="0.25">
      <c r="A1778" t="s">
        <v>1820</v>
      </c>
      <c r="B1778">
        <v>4.6500000000000004E-6</v>
      </c>
    </row>
    <row r="1779" spans="1:2" x14ac:dyDescent="0.25">
      <c r="A1779" t="s">
        <v>1821</v>
      </c>
      <c r="B1779">
        <v>6.9680000000000002E-4</v>
      </c>
    </row>
    <row r="1780" spans="1:2" x14ac:dyDescent="0.25">
      <c r="A1780" t="s">
        <v>1822</v>
      </c>
      <c r="B1780">
        <v>0.1477</v>
      </c>
    </row>
    <row r="1781" spans="1:2" x14ac:dyDescent="0.25">
      <c r="A1781" t="s">
        <v>1823</v>
      </c>
      <c r="B1781">
        <v>0.23469999999999999</v>
      </c>
    </row>
    <row r="1782" spans="1:2" x14ac:dyDescent="0.25">
      <c r="A1782" t="s">
        <v>1824</v>
      </c>
      <c r="B1782">
        <v>3.3599999999999997E-5</v>
      </c>
    </row>
    <row r="1783" spans="1:2" x14ac:dyDescent="0.25">
      <c r="A1783" t="s">
        <v>1825</v>
      </c>
      <c r="B1783">
        <v>3.903</v>
      </c>
    </row>
    <row r="1784" spans="1:2" x14ac:dyDescent="0.25">
      <c r="A1784" t="s">
        <v>1826</v>
      </c>
      <c r="B1784">
        <v>3.1469999999999998</v>
      </c>
    </row>
    <row r="1785" spans="1:2" x14ac:dyDescent="0.25">
      <c r="A1785" t="s">
        <v>1827</v>
      </c>
      <c r="B1785">
        <v>1.032E-4</v>
      </c>
    </row>
    <row r="1786" spans="1:2" x14ac:dyDescent="0.25">
      <c r="A1786" t="s">
        <v>1828</v>
      </c>
      <c r="B1786">
        <v>7.03</v>
      </c>
    </row>
    <row r="1787" spans="1:2" x14ac:dyDescent="0.25">
      <c r="A1787" t="s">
        <v>1829</v>
      </c>
      <c r="B1787">
        <v>3.04</v>
      </c>
    </row>
    <row r="1788" spans="1:2" x14ac:dyDescent="0.25">
      <c r="A1788" t="s">
        <v>1830</v>
      </c>
      <c r="B1788">
        <v>2.3729999999999999E-4</v>
      </c>
    </row>
    <row r="1789" spans="1:2" x14ac:dyDescent="0.25">
      <c r="A1789" t="s">
        <v>1831</v>
      </c>
      <c r="B1789">
        <v>10.73</v>
      </c>
    </row>
    <row r="1790" spans="1:2" x14ac:dyDescent="0.25">
      <c r="A1790" t="s">
        <v>1832</v>
      </c>
      <c r="B1790">
        <v>19.45</v>
      </c>
    </row>
    <row r="1791" spans="1:2" x14ac:dyDescent="0.25">
      <c r="A1791" t="s">
        <v>1833</v>
      </c>
      <c r="B1791">
        <v>3.4879999999999998E-5</v>
      </c>
    </row>
    <row r="1792" spans="1:2" x14ac:dyDescent="0.25">
      <c r="A1792" t="s">
        <v>1834</v>
      </c>
      <c r="B1792">
        <v>3.2749999999999999</v>
      </c>
    </row>
    <row r="1793" spans="1:2" x14ac:dyDescent="0.25">
      <c r="A1793" t="s">
        <v>1835</v>
      </c>
      <c r="B1793">
        <v>20</v>
      </c>
    </row>
    <row r="1794" spans="1:2" x14ac:dyDescent="0.25">
      <c r="A1794" t="s">
        <v>1836</v>
      </c>
      <c r="B1794">
        <v>115.67</v>
      </c>
    </row>
    <row r="1795" spans="1:2" x14ac:dyDescent="0.25">
      <c r="A1795" t="s">
        <v>1837</v>
      </c>
      <c r="B1795">
        <v>1.4E-5</v>
      </c>
    </row>
    <row r="1796" spans="1:2" x14ac:dyDescent="0.25">
      <c r="A1796" t="s">
        <v>1838</v>
      </c>
      <c r="B1796">
        <v>0.26569999999999999</v>
      </c>
    </row>
    <row r="1797" spans="1:2" x14ac:dyDescent="0.25">
      <c r="A1797" t="s">
        <v>1839</v>
      </c>
      <c r="B1797">
        <v>0.48609999999999998</v>
      </c>
    </row>
    <row r="1798" spans="1:2" x14ac:dyDescent="0.25">
      <c r="A1798" t="s">
        <v>1840</v>
      </c>
      <c r="B1798">
        <v>20.87</v>
      </c>
    </row>
    <row r="1799" spans="1:2" x14ac:dyDescent="0.25">
      <c r="A1799" t="s">
        <v>1841</v>
      </c>
      <c r="B1799">
        <v>1.7588999999999999</v>
      </c>
    </row>
    <row r="1800" spans="1:2" x14ac:dyDescent="0.25">
      <c r="A1800" t="s">
        <v>1842</v>
      </c>
      <c r="B1800">
        <v>4.4790000000000003E-2</v>
      </c>
    </row>
    <row r="1801" spans="1:2" x14ac:dyDescent="0.25">
      <c r="A1801" t="s">
        <v>1843</v>
      </c>
      <c r="B1801">
        <v>7.8890000000000002</v>
      </c>
    </row>
    <row r="1802" spans="1:2" x14ac:dyDescent="0.25">
      <c r="A1802" t="s">
        <v>1844</v>
      </c>
      <c r="B1802">
        <v>734</v>
      </c>
    </row>
    <row r="1803" spans="1:2" x14ac:dyDescent="0.25">
      <c r="A1803" t="s">
        <v>1845</v>
      </c>
      <c r="B1803">
        <v>0.63590000000000002</v>
      </c>
    </row>
    <row r="1804" spans="1:2" x14ac:dyDescent="0.25">
      <c r="A1804" t="s">
        <v>1846</v>
      </c>
      <c r="B1804">
        <v>32.299999999999997</v>
      </c>
    </row>
    <row r="1805" spans="1:2" x14ac:dyDescent="0.25">
      <c r="A1805" t="s">
        <v>1847</v>
      </c>
      <c r="B1805">
        <v>0</v>
      </c>
    </row>
    <row r="1806" spans="1:2" x14ac:dyDescent="0.25">
      <c r="A1806" t="s">
        <v>1848</v>
      </c>
      <c r="B1806">
        <v>0</v>
      </c>
    </row>
    <row r="1807" spans="1:2" x14ac:dyDescent="0.25">
      <c r="A1807" t="s">
        <v>1849</v>
      </c>
      <c r="B1807">
        <v>0</v>
      </c>
    </row>
    <row r="1808" spans="1:2" x14ac:dyDescent="0.25">
      <c r="A1808" t="s">
        <v>1850</v>
      </c>
      <c r="B1808">
        <v>3.4000000000000001E-6</v>
      </c>
    </row>
    <row r="1809" spans="1:2" x14ac:dyDescent="0.25">
      <c r="A1809" t="s">
        <v>1851</v>
      </c>
      <c r="B1809">
        <v>0.25140000000000001</v>
      </c>
    </row>
    <row r="1810" spans="1:2" x14ac:dyDescent="0.25">
      <c r="A1810" t="s">
        <v>1852</v>
      </c>
      <c r="B1810">
        <v>0.31950000000000001</v>
      </c>
    </row>
    <row r="1811" spans="1:2" x14ac:dyDescent="0.25">
      <c r="A1811" t="s">
        <v>1853</v>
      </c>
      <c r="B1811">
        <v>6.8600000000000004E-6</v>
      </c>
    </row>
    <row r="1812" spans="1:2" x14ac:dyDescent="0.25">
      <c r="A1812" t="s">
        <v>1854</v>
      </c>
      <c r="B1812">
        <v>0.32650000000000001</v>
      </c>
    </row>
    <row r="1813" spans="1:2" x14ac:dyDescent="0.25">
      <c r="A1813" t="s">
        <v>1855</v>
      </c>
      <c r="B1813">
        <v>0.64400000000000002</v>
      </c>
    </row>
    <row r="1814" spans="1:2" x14ac:dyDescent="0.25">
      <c r="A1814" t="s">
        <v>1856</v>
      </c>
      <c r="B1814">
        <v>41.67</v>
      </c>
    </row>
    <row r="1815" spans="1:2" x14ac:dyDescent="0.25">
      <c r="A1815" t="s">
        <v>1857</v>
      </c>
      <c r="B1815">
        <v>3.694</v>
      </c>
    </row>
    <row r="1816" spans="1:2" x14ac:dyDescent="0.25">
      <c r="A1816" t="s">
        <v>1858</v>
      </c>
      <c r="B1816">
        <v>0.21859999999999999</v>
      </c>
    </row>
    <row r="1817" spans="1:2" x14ac:dyDescent="0.25">
      <c r="A1817" t="s">
        <v>1859</v>
      </c>
      <c r="B1817">
        <v>1.2426999999999999</v>
      </c>
    </row>
    <row r="1818" spans="1:2" x14ac:dyDescent="0.25">
      <c r="A1818" t="s">
        <v>1860</v>
      </c>
      <c r="B1818">
        <v>15.21</v>
      </c>
    </row>
    <row r="1819" spans="1:2" x14ac:dyDescent="0.25">
      <c r="A1819" t="s">
        <v>1861</v>
      </c>
      <c r="B1819">
        <v>6.3299999999999995E-2</v>
      </c>
    </row>
    <row r="1820" spans="1:2" x14ac:dyDescent="0.25">
      <c r="A1820" t="s">
        <v>1862</v>
      </c>
      <c r="B1820">
        <v>1.8069999999999999</v>
      </c>
    </row>
    <row r="1821" spans="1:2" x14ac:dyDescent="0.25">
      <c r="A1821" t="s">
        <v>1863</v>
      </c>
      <c r="B1821">
        <v>10781</v>
      </c>
    </row>
    <row r="1822" spans="1:2" x14ac:dyDescent="0.25">
      <c r="A1822" t="s">
        <v>1864</v>
      </c>
      <c r="B1822">
        <v>6598</v>
      </c>
    </row>
    <row r="1823" spans="1:2" x14ac:dyDescent="0.25">
      <c r="A1823" t="s">
        <v>1865</v>
      </c>
      <c r="B1823">
        <v>2.1600000000000001E-6</v>
      </c>
    </row>
    <row r="1824" spans="1:2" x14ac:dyDescent="0.25">
      <c r="A1824" t="s">
        <v>1866</v>
      </c>
      <c r="B1824">
        <v>6.9340000000000005E-4</v>
      </c>
    </row>
    <row r="1825" spans="1:2" x14ac:dyDescent="0.25">
      <c r="A1825" t="s">
        <v>1867</v>
      </c>
      <c r="B1825">
        <v>0.13250000000000001</v>
      </c>
    </row>
    <row r="1826" spans="1:2" x14ac:dyDescent="0.25">
      <c r="A1826" t="s">
        <v>1868</v>
      </c>
      <c r="B1826">
        <v>0.1822</v>
      </c>
    </row>
    <row r="1827" spans="1:2" x14ac:dyDescent="0.25">
      <c r="A1827" t="s">
        <v>1869</v>
      </c>
      <c r="B1827">
        <v>5.1700000000000001E-3</v>
      </c>
    </row>
    <row r="1828" spans="1:2" x14ac:dyDescent="0.25">
      <c r="A1828" t="s">
        <v>1870</v>
      </c>
      <c r="B1828">
        <v>0.115</v>
      </c>
    </row>
    <row r="1829" spans="1:2" x14ac:dyDescent="0.25">
      <c r="A1829" t="s">
        <v>1871</v>
      </c>
      <c r="B1829">
        <v>26.18</v>
      </c>
    </row>
    <row r="1830" spans="1:2" x14ac:dyDescent="0.25">
      <c r="A1830" t="s">
        <v>1872</v>
      </c>
      <c r="B1830">
        <v>1.5499999999999999E-3</v>
      </c>
    </row>
    <row r="1831" spans="1:2" x14ac:dyDescent="0.25">
      <c r="A1831" t="s">
        <v>1873</v>
      </c>
      <c r="B1831">
        <v>21.17</v>
      </c>
    </row>
    <row r="1832" spans="1:2" x14ac:dyDescent="0.25">
      <c r="A1832" t="s">
        <v>1874</v>
      </c>
      <c r="B1832">
        <v>29.03</v>
      </c>
    </row>
    <row r="1833" spans="1:2" x14ac:dyDescent="0.25">
      <c r="A1833" t="s">
        <v>1875</v>
      </c>
      <c r="B1833">
        <v>1.535E-5</v>
      </c>
    </row>
    <row r="1834" spans="1:2" x14ac:dyDescent="0.25">
      <c r="A1834" t="s">
        <v>1876</v>
      </c>
      <c r="B1834">
        <v>1.421</v>
      </c>
    </row>
    <row r="1835" spans="1:2" x14ac:dyDescent="0.25">
      <c r="A1835" t="s">
        <v>1877</v>
      </c>
      <c r="B1835">
        <v>1.4410000000000001</v>
      </c>
    </row>
    <row r="1836" spans="1:2" x14ac:dyDescent="0.25">
      <c r="A1836" t="s">
        <v>1878</v>
      </c>
      <c r="B1836">
        <v>8.5500000000000005E-5</v>
      </c>
    </row>
    <row r="1837" spans="1:2" x14ac:dyDescent="0.25">
      <c r="A1837" t="s">
        <v>1879</v>
      </c>
      <c r="B1837">
        <v>2.597</v>
      </c>
    </row>
    <row r="1838" spans="1:2" x14ac:dyDescent="0.25">
      <c r="A1838" t="s">
        <v>1880</v>
      </c>
      <c r="B1838">
        <v>4.9260000000000002</v>
      </c>
    </row>
    <row r="1839" spans="1:2" x14ac:dyDescent="0.25">
      <c r="A1839" t="s">
        <v>1881</v>
      </c>
      <c r="B1839">
        <v>4.7E-7</v>
      </c>
    </row>
    <row r="1840" spans="1:2" x14ac:dyDescent="0.25">
      <c r="A1840" t="s">
        <v>1882</v>
      </c>
      <c r="B1840">
        <v>9.4999999999999998E-3</v>
      </c>
    </row>
    <row r="1841" spans="1:2" x14ac:dyDescent="0.25">
      <c r="A1841" t="s">
        <v>1883</v>
      </c>
      <c r="B1841">
        <v>4.5039999999999997E-2</v>
      </c>
    </row>
    <row r="1842" spans="1:2" x14ac:dyDescent="0.25">
      <c r="A1842" t="s">
        <v>1884</v>
      </c>
      <c r="B1842">
        <v>1.629E-3</v>
      </c>
    </row>
    <row r="1843" spans="1:2" x14ac:dyDescent="0.25">
      <c r="A1843" t="s">
        <v>1885</v>
      </c>
      <c r="B1843">
        <v>1.1900000000000001E-4</v>
      </c>
    </row>
    <row r="1844" spans="1:2" x14ac:dyDescent="0.25">
      <c r="A1844" t="s">
        <v>1886</v>
      </c>
      <c r="B1844">
        <v>36.659999999999997</v>
      </c>
    </row>
    <row r="1845" spans="1:2" x14ac:dyDescent="0.25">
      <c r="A1845" t="s">
        <v>1887</v>
      </c>
      <c r="B1845">
        <v>0</v>
      </c>
    </row>
    <row r="1846" spans="1:2" x14ac:dyDescent="0.25">
      <c r="A1846" t="s">
        <v>1888</v>
      </c>
      <c r="B1846">
        <v>2.9669999999999998E-2</v>
      </c>
    </row>
    <row r="1847" spans="1:2" x14ac:dyDescent="0.25">
      <c r="A1847" t="s">
        <v>1889</v>
      </c>
      <c r="B1847">
        <v>0</v>
      </c>
    </row>
    <row r="1848" spans="1:2" x14ac:dyDescent="0.25">
      <c r="A1848" t="s">
        <v>1890</v>
      </c>
      <c r="B1848">
        <v>4.5780000000000001E-2</v>
      </c>
    </row>
    <row r="1849" spans="1:2" x14ac:dyDescent="0.25">
      <c r="A1849" t="s">
        <v>1891</v>
      </c>
      <c r="B1849">
        <v>0.17849999999999999</v>
      </c>
    </row>
    <row r="1850" spans="1:2" x14ac:dyDescent="0.25">
      <c r="A1850" t="s">
        <v>1892</v>
      </c>
      <c r="B1850">
        <v>0</v>
      </c>
    </row>
    <row r="1851" spans="1:2" x14ac:dyDescent="0.25">
      <c r="A1851" t="s">
        <v>1893</v>
      </c>
      <c r="B1851">
        <v>7.5849999999999995E-4</v>
      </c>
    </row>
    <row r="1852" spans="1:2" x14ac:dyDescent="0.25">
      <c r="A1852" t="s">
        <v>1894</v>
      </c>
      <c r="B1852">
        <v>3.9730000000000001E-4</v>
      </c>
    </row>
    <row r="1853" spans="1:2" x14ac:dyDescent="0.25">
      <c r="A1853" t="s">
        <v>1895</v>
      </c>
      <c r="B1853">
        <v>0</v>
      </c>
    </row>
    <row r="1854" spans="1:2" x14ac:dyDescent="0.25">
      <c r="A1854" t="s">
        <v>1896</v>
      </c>
      <c r="B1854">
        <v>0</v>
      </c>
    </row>
    <row r="1855" spans="1:2" x14ac:dyDescent="0.25">
      <c r="A1855" t="s">
        <v>1897</v>
      </c>
      <c r="B1855">
        <v>0</v>
      </c>
    </row>
    <row r="1856" spans="1:2" x14ac:dyDescent="0.25">
      <c r="A1856" t="s">
        <v>1898</v>
      </c>
      <c r="B1856">
        <v>4.07E-6</v>
      </c>
    </row>
    <row r="1857" spans="1:2" x14ac:dyDescent="0.25">
      <c r="A1857" t="s">
        <v>1899</v>
      </c>
      <c r="B1857">
        <v>0.21879999999999999</v>
      </c>
    </row>
    <row r="1858" spans="1:2" x14ac:dyDescent="0.25">
      <c r="A1858" t="s">
        <v>1900</v>
      </c>
      <c r="B1858">
        <v>0.38200000000000001</v>
      </c>
    </row>
    <row r="1859" spans="1:2" x14ac:dyDescent="0.25">
      <c r="A1859" t="s">
        <v>1901</v>
      </c>
      <c r="B1859">
        <v>1.8910000000000001E-3</v>
      </c>
    </row>
    <row r="1860" spans="1:2" x14ac:dyDescent="0.25">
      <c r="A1860" t="s">
        <v>1902</v>
      </c>
      <c r="B1860">
        <v>0.1431</v>
      </c>
    </row>
    <row r="1861" spans="1:2" x14ac:dyDescent="0.25">
      <c r="A1861" t="s">
        <v>1903</v>
      </c>
      <c r="B1861">
        <v>1.035E-2</v>
      </c>
    </row>
    <row r="1862" spans="1:2" x14ac:dyDescent="0.25">
      <c r="A1862" t="s">
        <v>1904</v>
      </c>
      <c r="B1862">
        <v>3.029E-3</v>
      </c>
    </row>
    <row r="1863" spans="1:2" x14ac:dyDescent="0.25">
      <c r="A1863" t="s">
        <v>1905</v>
      </c>
      <c r="B1863">
        <v>0</v>
      </c>
    </row>
    <row r="1864" spans="1:2" x14ac:dyDescent="0.25">
      <c r="A1864" t="s">
        <v>1906</v>
      </c>
      <c r="B1864">
        <v>0</v>
      </c>
    </row>
    <row r="1865" spans="1:2" x14ac:dyDescent="0.25">
      <c r="A1865" t="s">
        <v>1907</v>
      </c>
      <c r="B1865">
        <v>1.5120000000000001E-3</v>
      </c>
    </row>
    <row r="1866" spans="1:2" x14ac:dyDescent="0.25">
      <c r="A1866" t="s">
        <v>1908</v>
      </c>
      <c r="B1866">
        <v>1.5339999999999999E-4</v>
      </c>
    </row>
    <row r="1867" spans="1:2" x14ac:dyDescent="0.25">
      <c r="A1867" t="s">
        <v>1909</v>
      </c>
      <c r="B1867">
        <v>2.0220000000000001E-4</v>
      </c>
    </row>
    <row r="1868" spans="1:2" x14ac:dyDescent="0.25">
      <c r="A1868" t="s">
        <v>1910</v>
      </c>
      <c r="B1868">
        <v>5.2399999999999999E-3</v>
      </c>
    </row>
    <row r="1869" spans="1:2" x14ac:dyDescent="0.25">
      <c r="A1869" t="s">
        <v>1911</v>
      </c>
      <c r="B1869">
        <v>227.3</v>
      </c>
    </row>
    <row r="1870" spans="1:2" x14ac:dyDescent="0.25">
      <c r="A1870" t="s">
        <v>1912</v>
      </c>
      <c r="B1870">
        <v>0</v>
      </c>
    </row>
    <row r="1871" spans="1:2" x14ac:dyDescent="0.25">
      <c r="A1871" t="s">
        <v>1913</v>
      </c>
      <c r="B1871">
        <v>3.9600000000000003E-2</v>
      </c>
    </row>
    <row r="1872" spans="1:2" x14ac:dyDescent="0.25">
      <c r="A1872" t="s">
        <v>1914</v>
      </c>
      <c r="B1872">
        <v>8.3900000000000001E-4</v>
      </c>
    </row>
    <row r="1873" spans="1:2" x14ac:dyDescent="0.25">
      <c r="A1873" t="s">
        <v>1915</v>
      </c>
      <c r="B1873">
        <v>6.1700000000000002E-6</v>
      </c>
    </row>
    <row r="1874" spans="1:2" x14ac:dyDescent="0.25">
      <c r="A1874" t="s">
        <v>1916</v>
      </c>
      <c r="B1874">
        <v>1.491E-5</v>
      </c>
    </row>
    <row r="1875" spans="1:2" x14ac:dyDescent="0.25">
      <c r="A1875" t="s">
        <v>1917</v>
      </c>
      <c r="B1875">
        <v>2.8000000000000002E-7</v>
      </c>
    </row>
    <row r="1876" spans="1:2" x14ac:dyDescent="0.25">
      <c r="A1876" t="s">
        <v>1918</v>
      </c>
      <c r="B1876">
        <v>1.6459999999999999E-2</v>
      </c>
    </row>
    <row r="1877" spans="1:2" x14ac:dyDescent="0.25">
      <c r="A1877" t="s">
        <v>1919</v>
      </c>
      <c r="B1877">
        <v>2.6429999999999999E-2</v>
      </c>
    </row>
    <row r="1878" spans="1:2" x14ac:dyDescent="0.25">
      <c r="A1878" t="s">
        <v>1920</v>
      </c>
      <c r="B1878">
        <v>1.467E-5</v>
      </c>
    </row>
    <row r="1879" spans="1:2" x14ac:dyDescent="0.25">
      <c r="A1879" t="s">
        <v>1921</v>
      </c>
      <c r="B1879">
        <v>0.65080000000000005</v>
      </c>
    </row>
    <row r="1880" spans="1:2" x14ac:dyDescent="0.25">
      <c r="A1880" t="s">
        <v>1922</v>
      </c>
      <c r="B1880">
        <v>1.3759999999999999</v>
      </c>
    </row>
    <row r="1881" spans="1:2" x14ac:dyDescent="0.25">
      <c r="A1881" t="s">
        <v>1923</v>
      </c>
      <c r="B1881">
        <v>2.7599999999999998E-6</v>
      </c>
    </row>
    <row r="1882" spans="1:2" x14ac:dyDescent="0.25">
      <c r="A1882" t="s">
        <v>1924</v>
      </c>
      <c r="B1882">
        <v>0.20649999999999999</v>
      </c>
    </row>
    <row r="1883" spans="1:2" x14ac:dyDescent="0.25">
      <c r="A1883" t="s">
        <v>1925</v>
      </c>
      <c r="B1883">
        <v>0.2586</v>
      </c>
    </row>
    <row r="1884" spans="1:2" x14ac:dyDescent="0.25">
      <c r="A1884" t="s">
        <v>1926</v>
      </c>
      <c r="B1884">
        <v>0</v>
      </c>
    </row>
    <row r="1885" spans="1:2" x14ac:dyDescent="0.25">
      <c r="A1885" t="s">
        <v>1927</v>
      </c>
      <c r="B1885">
        <v>0</v>
      </c>
    </row>
    <row r="1886" spans="1:2" x14ac:dyDescent="0.25">
      <c r="A1886" t="s">
        <v>1928</v>
      </c>
      <c r="B1886">
        <v>0</v>
      </c>
    </row>
    <row r="1887" spans="1:2" x14ac:dyDescent="0.25">
      <c r="A1887" t="s">
        <v>1929</v>
      </c>
      <c r="B1887">
        <v>0</v>
      </c>
    </row>
    <row r="1888" spans="1:2" x14ac:dyDescent="0.25">
      <c r="A1888" t="s">
        <v>1930</v>
      </c>
      <c r="B1888">
        <v>364.5</v>
      </c>
    </row>
    <row r="1889" spans="1:2" x14ac:dyDescent="0.25">
      <c r="A1889" t="s">
        <v>1931</v>
      </c>
      <c r="B1889">
        <v>3.0199999999999999E-6</v>
      </c>
    </row>
    <row r="1890" spans="1:2" x14ac:dyDescent="0.25">
      <c r="A1890" t="s">
        <v>1932</v>
      </c>
      <c r="B1890">
        <v>0</v>
      </c>
    </row>
    <row r="1891" spans="1:2" x14ac:dyDescent="0.25">
      <c r="A1891" t="s">
        <v>1933</v>
      </c>
      <c r="B1891">
        <v>2.5100000000000001E-6</v>
      </c>
    </row>
    <row r="1892" spans="1:2" x14ac:dyDescent="0.25">
      <c r="A1892" t="s">
        <v>1934</v>
      </c>
      <c r="B1892">
        <v>2.5850000000000002E-5</v>
      </c>
    </row>
    <row r="1893" spans="1:2" x14ac:dyDescent="0.25">
      <c r="A1893" t="s">
        <v>1935</v>
      </c>
      <c r="B1893">
        <v>1.327</v>
      </c>
    </row>
    <row r="1894" spans="1:2" x14ac:dyDescent="0.25">
      <c r="A1894" t="s">
        <v>1936</v>
      </c>
      <c r="B1894">
        <v>3.9769999999999996E-3</v>
      </c>
    </row>
    <row r="1895" spans="1:2" x14ac:dyDescent="0.25">
      <c r="A1895" t="s">
        <v>1937</v>
      </c>
      <c r="B1895">
        <v>4.4000000000000002E-4</v>
      </c>
    </row>
    <row r="1896" spans="1:2" x14ac:dyDescent="0.25">
      <c r="A1896" t="s">
        <v>1938</v>
      </c>
      <c r="B1896">
        <v>2.3999999999999999E-6</v>
      </c>
    </row>
    <row r="1897" spans="1:2" x14ac:dyDescent="0.25">
      <c r="A1897" t="s">
        <v>1939</v>
      </c>
      <c r="B1897">
        <v>1.0426999999999999E-3</v>
      </c>
    </row>
    <row r="1898" spans="1:2" x14ac:dyDescent="0.25">
      <c r="A1898" t="s">
        <v>1940</v>
      </c>
      <c r="B1898">
        <v>0.18490000000000001</v>
      </c>
    </row>
    <row r="1899" spans="1:2" x14ac:dyDescent="0.25">
      <c r="A1899" t="s">
        <v>1941</v>
      </c>
      <c r="B1899">
        <v>0.22550000000000001</v>
      </c>
    </row>
    <row r="1900" spans="1:2" x14ac:dyDescent="0.25">
      <c r="A1900" t="s">
        <v>1942</v>
      </c>
      <c r="B1900">
        <v>66.349999999999994</v>
      </c>
    </row>
    <row r="1901" spans="1:2" x14ac:dyDescent="0.25">
      <c r="A1901" t="s">
        <v>1943</v>
      </c>
      <c r="B1901">
        <v>0</v>
      </c>
    </row>
    <row r="1902" spans="1:2" x14ac:dyDescent="0.25">
      <c r="A1902" t="s">
        <v>1944</v>
      </c>
      <c r="B1902">
        <v>2.0780000000000001E-4</v>
      </c>
    </row>
    <row r="1903" spans="1:2" x14ac:dyDescent="0.25">
      <c r="A1903" t="s">
        <v>1945</v>
      </c>
      <c r="B1903">
        <v>4.5570000000000003E-3</v>
      </c>
    </row>
    <row r="1904" spans="1:2" x14ac:dyDescent="0.25">
      <c r="A1904" t="s">
        <v>1946</v>
      </c>
      <c r="B1904">
        <v>183.4</v>
      </c>
    </row>
    <row r="1905" spans="1:2" x14ac:dyDescent="0.25">
      <c r="A1905" t="s">
        <v>1947</v>
      </c>
      <c r="B1905">
        <v>3.0990000000000002</v>
      </c>
    </row>
    <row r="1906" spans="1:2" x14ac:dyDescent="0.25">
      <c r="A1906" t="s">
        <v>1948</v>
      </c>
      <c r="B1906">
        <v>0.53720000000000001</v>
      </c>
    </row>
    <row r="1907" spans="1:2" x14ac:dyDescent="0.25">
      <c r="A1907" t="s">
        <v>1949</v>
      </c>
      <c r="B1907">
        <v>1.7580000000000001E-5</v>
      </c>
    </row>
    <row r="1908" spans="1:2" x14ac:dyDescent="0.25">
      <c r="A1908" t="s">
        <v>1950</v>
      </c>
      <c r="B1908">
        <v>1</v>
      </c>
    </row>
    <row r="1909" spans="1:2" x14ac:dyDescent="0.25">
      <c r="A1909" t="s">
        <v>1951</v>
      </c>
      <c r="B1909">
        <v>1.66</v>
      </c>
    </row>
    <row r="1910" spans="1:2" x14ac:dyDescent="0.25">
      <c r="A1910" t="s">
        <v>1952</v>
      </c>
      <c r="B1910">
        <v>1.06E-6</v>
      </c>
    </row>
    <row r="1911" spans="1:2" x14ac:dyDescent="0.25">
      <c r="A1911" t="s">
        <v>1953</v>
      </c>
      <c r="B1911">
        <v>7.8000000000000005E-7</v>
      </c>
    </row>
    <row r="1912" spans="1:2" x14ac:dyDescent="0.25">
      <c r="A1912" t="s">
        <v>1954</v>
      </c>
      <c r="B1912">
        <v>3.7400000000000001E-5</v>
      </c>
    </row>
    <row r="1913" spans="1:2" x14ac:dyDescent="0.25">
      <c r="A1913" t="s">
        <v>1955</v>
      </c>
      <c r="B1913">
        <v>1.19E-6</v>
      </c>
    </row>
    <row r="1914" spans="1:2" x14ac:dyDescent="0.25">
      <c r="A1914" t="s">
        <v>1956</v>
      </c>
      <c r="B1914">
        <v>4.6399999999999997E-2</v>
      </c>
    </row>
    <row r="1915" spans="1:2" x14ac:dyDescent="0.25">
      <c r="A1915" t="s">
        <v>1957</v>
      </c>
      <c r="B1915">
        <v>0.1115</v>
      </c>
    </row>
    <row r="1916" spans="1:2" x14ac:dyDescent="0.25">
      <c r="A1916" t="s">
        <v>1958</v>
      </c>
      <c r="B1916">
        <v>1.86E-6</v>
      </c>
    </row>
    <row r="1917" spans="1:2" x14ac:dyDescent="0.25">
      <c r="A1917" t="s">
        <v>1959</v>
      </c>
      <c r="B1917">
        <v>2.8719999999999999E-2</v>
      </c>
    </row>
    <row r="1918" spans="1:2" x14ac:dyDescent="0.25">
      <c r="A1918" t="s">
        <v>1960</v>
      </c>
      <c r="B1918">
        <v>3.1510000000000003E-2</v>
      </c>
    </row>
    <row r="1919" spans="1:2" x14ac:dyDescent="0.25">
      <c r="A1919" t="s">
        <v>1961</v>
      </c>
      <c r="B1919">
        <v>0.99819999999999998</v>
      </c>
    </row>
    <row r="1920" spans="1:2" x14ac:dyDescent="0.25">
      <c r="A1920" t="s">
        <v>1962</v>
      </c>
      <c r="B1920">
        <v>1.4059999999999999E-5</v>
      </c>
    </row>
    <row r="1921" spans="1:2" x14ac:dyDescent="0.25">
      <c r="A1921" t="s">
        <v>1963</v>
      </c>
      <c r="B1921">
        <v>5.017E-4</v>
      </c>
    </row>
    <row r="1922" spans="1:2" x14ac:dyDescent="0.25">
      <c r="A1922" t="s">
        <v>1964</v>
      </c>
      <c r="B1922">
        <v>0.66300000000000003</v>
      </c>
    </row>
    <row r="1923" spans="1:2" x14ac:dyDescent="0.25">
      <c r="A1923" t="s">
        <v>1965</v>
      </c>
      <c r="B1923">
        <v>1.319</v>
      </c>
    </row>
    <row r="1924" spans="1:2" x14ac:dyDescent="0.25">
      <c r="A1924" t="s">
        <v>1966</v>
      </c>
      <c r="B1924">
        <v>0.27100000000000002</v>
      </c>
    </row>
    <row r="1925" spans="1:2" x14ac:dyDescent="0.25">
      <c r="A1925" t="s">
        <v>1967</v>
      </c>
      <c r="B1925">
        <v>3.0660000000000003E-4</v>
      </c>
    </row>
    <row r="1926" spans="1:2" x14ac:dyDescent="0.25">
      <c r="A1926" t="s">
        <v>1968</v>
      </c>
      <c r="B1926">
        <v>6.9800000000000005E-4</v>
      </c>
    </row>
    <row r="1927" spans="1:2" x14ac:dyDescent="0.25">
      <c r="A1927" t="s">
        <v>1969</v>
      </c>
      <c r="B1927">
        <v>0.99690000000000001</v>
      </c>
    </row>
    <row r="1928" spans="1:2" x14ac:dyDescent="0.25">
      <c r="A1928" t="s">
        <v>1970</v>
      </c>
      <c r="B1928">
        <v>2.3E-6</v>
      </c>
    </row>
    <row r="1929" spans="1:2" x14ac:dyDescent="0.25">
      <c r="A1929" t="s">
        <v>1971</v>
      </c>
      <c r="B1929">
        <v>1.1410000000000001E-3</v>
      </c>
    </row>
    <row r="1930" spans="1:2" x14ac:dyDescent="0.25">
      <c r="A1930" t="s">
        <v>1972</v>
      </c>
      <c r="B1930">
        <v>0.16450000000000001</v>
      </c>
    </row>
    <row r="1931" spans="1:2" x14ac:dyDescent="0.25">
      <c r="A1931" t="s">
        <v>1973</v>
      </c>
      <c r="B1931">
        <v>0.21609999999999999</v>
      </c>
    </row>
    <row r="1932" spans="1:2" x14ac:dyDescent="0.25">
      <c r="A1932" t="s">
        <v>1974</v>
      </c>
      <c r="B1932">
        <v>7.8900000000000007E-6</v>
      </c>
    </row>
    <row r="1933" spans="1:2" x14ac:dyDescent="0.25">
      <c r="A1933" t="s">
        <v>1975</v>
      </c>
      <c r="B1933">
        <v>4.6749999999999998E-5</v>
      </c>
    </row>
    <row r="1934" spans="1:2" x14ac:dyDescent="0.25">
      <c r="A1934" t="s">
        <v>1976</v>
      </c>
      <c r="B1934">
        <v>8.8400000000000001E-6</v>
      </c>
    </row>
    <row r="1935" spans="1:2" x14ac:dyDescent="0.25">
      <c r="A1935" t="s">
        <v>1977</v>
      </c>
      <c r="B1935">
        <v>0</v>
      </c>
    </row>
    <row r="1936" spans="1:2" x14ac:dyDescent="0.25">
      <c r="A1936" t="s">
        <v>1978</v>
      </c>
      <c r="B1936">
        <v>2.681E-2</v>
      </c>
    </row>
    <row r="1937" spans="1:2" x14ac:dyDescent="0.25">
      <c r="A1937" t="s">
        <v>1979</v>
      </c>
      <c r="B1937">
        <v>4.3900000000000002E-2</v>
      </c>
    </row>
    <row r="1938" spans="1:2" x14ac:dyDescent="0.25">
      <c r="A1938" t="s">
        <v>1980</v>
      </c>
      <c r="B1938">
        <v>224</v>
      </c>
    </row>
    <row r="1939" spans="1:2" x14ac:dyDescent="0.25">
      <c r="A1939" t="s">
        <v>1981</v>
      </c>
      <c r="B1939">
        <v>6.7</v>
      </c>
    </row>
    <row r="1940" spans="1:2" x14ac:dyDescent="0.25">
      <c r="A1940" t="s">
        <v>1982</v>
      </c>
      <c r="B1940">
        <v>181.4</v>
      </c>
    </row>
    <row r="1941" spans="1:2" x14ac:dyDescent="0.25">
      <c r="A1941" t="s">
        <v>1983</v>
      </c>
      <c r="B1941">
        <v>1.9819999999999999E-4</v>
      </c>
    </row>
    <row r="1942" spans="1:2" x14ac:dyDescent="0.25">
      <c r="A1942" t="s">
        <v>1984</v>
      </c>
      <c r="B1942">
        <v>2.1960000000000002</v>
      </c>
    </row>
    <row r="1943" spans="1:2" x14ac:dyDescent="0.25">
      <c r="A1943" t="s">
        <v>1985</v>
      </c>
      <c r="B1943">
        <v>48.85</v>
      </c>
    </row>
    <row r="1944" spans="1:2" x14ac:dyDescent="0.25">
      <c r="A1944" t="s">
        <v>1986</v>
      </c>
      <c r="B1944">
        <v>1.3819999999999999</v>
      </c>
    </row>
    <row r="1945" spans="1:2" x14ac:dyDescent="0.25">
      <c r="A1945" t="s">
        <v>1987</v>
      </c>
      <c r="B1945">
        <v>2.9940000000000001E-5</v>
      </c>
    </row>
    <row r="1946" spans="1:2" x14ac:dyDescent="0.25">
      <c r="A1946" t="s">
        <v>1988</v>
      </c>
      <c r="B1946">
        <v>2.8479999999999998E-2</v>
      </c>
    </row>
    <row r="1947" spans="1:2" x14ac:dyDescent="0.25">
      <c r="A1947" t="s">
        <v>1989</v>
      </c>
      <c r="B1947">
        <v>2.3120000000000002E-2</v>
      </c>
    </row>
    <row r="1948" spans="1:2" x14ac:dyDescent="0.25">
      <c r="A1948" t="s">
        <v>1990</v>
      </c>
      <c r="B1948">
        <v>0</v>
      </c>
    </row>
    <row r="1949" spans="1:2" x14ac:dyDescent="0.25">
      <c r="A1949" t="s">
        <v>1991</v>
      </c>
      <c r="B1949">
        <v>3.349E-5</v>
      </c>
    </row>
    <row r="1950" spans="1:2" x14ac:dyDescent="0.25">
      <c r="A1950" t="s">
        <v>1992</v>
      </c>
      <c r="B1950">
        <v>722.9</v>
      </c>
    </row>
    <row r="1951" spans="1:2" x14ac:dyDescent="0.25">
      <c r="A1951" t="s">
        <v>1993</v>
      </c>
      <c r="B1951">
        <v>0</v>
      </c>
    </row>
    <row r="1952" spans="1:2" x14ac:dyDescent="0.25">
      <c r="A1952" t="s">
        <v>1994</v>
      </c>
      <c r="B1952">
        <v>0.05</v>
      </c>
    </row>
    <row r="1953" spans="1:2" x14ac:dyDescent="0.25">
      <c r="A1953" t="s">
        <v>1995</v>
      </c>
      <c r="B1953">
        <v>6.2199999999999998E-2</v>
      </c>
    </row>
    <row r="1954" spans="1:2" x14ac:dyDescent="0.25">
      <c r="A1954" t="s">
        <v>1996</v>
      </c>
      <c r="B1954">
        <v>58.82</v>
      </c>
    </row>
    <row r="1955" spans="1:2" x14ac:dyDescent="0.25">
      <c r="A1955" t="s">
        <v>1997</v>
      </c>
      <c r="B1955">
        <v>1.021E-3</v>
      </c>
    </row>
    <row r="1956" spans="1:2" x14ac:dyDescent="0.25">
      <c r="A1956" t="s">
        <v>1998</v>
      </c>
      <c r="B1956">
        <v>6.9550000000000001</v>
      </c>
    </row>
    <row r="1957" spans="1:2" x14ac:dyDescent="0.25">
      <c r="A1957" t="s">
        <v>1999</v>
      </c>
      <c r="B1957">
        <v>39.1</v>
      </c>
    </row>
    <row r="1958" spans="1:2" x14ac:dyDescent="0.25">
      <c r="A1958" t="s">
        <v>2000</v>
      </c>
      <c r="B1958">
        <v>2.5200000000000001E-3</v>
      </c>
    </row>
    <row r="1959" spans="1:2" x14ac:dyDescent="0.25">
      <c r="A1959" t="s">
        <v>2001</v>
      </c>
      <c r="B1959">
        <v>1.7400000000000001E-6</v>
      </c>
    </row>
    <row r="1960" spans="1:2" x14ac:dyDescent="0.25">
      <c r="A1960" t="s">
        <v>2002</v>
      </c>
      <c r="B1960">
        <v>7.6900000000000004E-4</v>
      </c>
    </row>
    <row r="1961" spans="1:2" x14ac:dyDescent="0.25">
      <c r="A1961" t="s">
        <v>2003</v>
      </c>
      <c r="B1961">
        <v>0.22700000000000001</v>
      </c>
    </row>
    <row r="1962" spans="1:2" x14ac:dyDescent="0.25">
      <c r="A1962" t="s">
        <v>2004</v>
      </c>
      <c r="B1962">
        <v>0.16339999999999999</v>
      </c>
    </row>
    <row r="1963" spans="1:2" x14ac:dyDescent="0.25">
      <c r="A1963" t="s">
        <v>2005</v>
      </c>
      <c r="B1963">
        <v>1.2879999999999999E-4</v>
      </c>
    </row>
    <row r="1964" spans="1:2" x14ac:dyDescent="0.25">
      <c r="A1964" t="s">
        <v>2006</v>
      </c>
      <c r="B1964">
        <v>6.1619999999999999</v>
      </c>
    </row>
    <row r="1965" spans="1:2" x14ac:dyDescent="0.25">
      <c r="A1965" t="s">
        <v>2007</v>
      </c>
      <c r="B1965">
        <v>3.3840000000000002E-2</v>
      </c>
    </row>
    <row r="1966" spans="1:2" x14ac:dyDescent="0.25">
      <c r="A1966" t="s">
        <v>2008</v>
      </c>
      <c r="B1966">
        <v>2.1139999999999999E-2</v>
      </c>
    </row>
    <row r="1967" spans="1:2" x14ac:dyDescent="0.25">
      <c r="A1967" t="s">
        <v>2009</v>
      </c>
      <c r="B1967">
        <v>98.02</v>
      </c>
    </row>
    <row r="1968" spans="1:2" x14ac:dyDescent="0.25">
      <c r="A1968" t="s">
        <v>2010</v>
      </c>
      <c r="B1968">
        <v>1.024E-5</v>
      </c>
    </row>
    <row r="1969" spans="1:2" x14ac:dyDescent="0.25">
      <c r="A1969" t="s">
        <v>2011</v>
      </c>
      <c r="B1969">
        <v>0.42</v>
      </c>
    </row>
    <row r="1970" spans="1:2" x14ac:dyDescent="0.25">
      <c r="A1970" t="s">
        <v>2012</v>
      </c>
      <c r="B1970">
        <v>0.96220000000000006</v>
      </c>
    </row>
    <row r="1971" spans="1:2" x14ac:dyDescent="0.25">
      <c r="A1971" t="s">
        <v>2013</v>
      </c>
      <c r="B1971">
        <v>1.232</v>
      </c>
    </row>
    <row r="1972" spans="1:2" x14ac:dyDescent="0.25">
      <c r="A1972" t="s">
        <v>2014</v>
      </c>
      <c r="B1972">
        <v>1.423</v>
      </c>
    </row>
    <row r="1973" spans="1:2" x14ac:dyDescent="0.25">
      <c r="A1973" t="s">
        <v>2015</v>
      </c>
      <c r="B1973">
        <v>1.314E-5</v>
      </c>
    </row>
    <row r="1974" spans="1:2" x14ac:dyDescent="0.25">
      <c r="A1974" t="s">
        <v>2016</v>
      </c>
      <c r="B1974">
        <v>1.7490000000000001</v>
      </c>
    </row>
    <row r="1975" spans="1:2" x14ac:dyDescent="0.25">
      <c r="A1975" t="s">
        <v>2017</v>
      </c>
      <c r="B1975">
        <v>0</v>
      </c>
    </row>
    <row r="1976" spans="1:2" x14ac:dyDescent="0.25">
      <c r="A1976" t="s">
        <v>2018</v>
      </c>
      <c r="B1976">
        <v>4.931</v>
      </c>
    </row>
    <row r="1977" spans="1:2" x14ac:dyDescent="0.25">
      <c r="A1977" t="s">
        <v>2019</v>
      </c>
      <c r="B1977">
        <v>41.74</v>
      </c>
    </row>
    <row r="1978" spans="1:2" x14ac:dyDescent="0.25">
      <c r="A1978" t="s">
        <v>2020</v>
      </c>
      <c r="B1978">
        <v>1.3540000000000001</v>
      </c>
    </row>
    <row r="1979" spans="1:2" x14ac:dyDescent="0.25">
      <c r="A1979" t="s">
        <v>2021</v>
      </c>
      <c r="B1979">
        <v>1.508</v>
      </c>
    </row>
    <row r="1980" spans="1:2" x14ac:dyDescent="0.25">
      <c r="A1980" t="s">
        <v>2022</v>
      </c>
      <c r="B1980">
        <v>3.3050000000000002</v>
      </c>
    </row>
    <row r="1981" spans="1:2" x14ac:dyDescent="0.25">
      <c r="A1981" t="s">
        <v>2023</v>
      </c>
      <c r="B1981">
        <v>43.62</v>
      </c>
    </row>
    <row r="1982" spans="1:2" x14ac:dyDescent="0.25">
      <c r="A1982" t="s">
        <v>2024</v>
      </c>
      <c r="B1982">
        <v>7.7299999999999994E-2</v>
      </c>
    </row>
    <row r="1983" spans="1:2" x14ac:dyDescent="0.25">
      <c r="A1983" t="s">
        <v>2025</v>
      </c>
      <c r="B1983">
        <v>6.7000000000000004E-2</v>
      </c>
    </row>
    <row r="1984" spans="1:2" x14ac:dyDescent="0.25">
      <c r="A1984" t="s">
        <v>2026</v>
      </c>
      <c r="B1984">
        <v>2.987E-4</v>
      </c>
    </row>
    <row r="1985" spans="1:2" x14ac:dyDescent="0.25">
      <c r="A1985" t="s">
        <v>2027</v>
      </c>
      <c r="B1985">
        <v>5.2769999999999996E-3</v>
      </c>
    </row>
    <row r="1986" spans="1:2" x14ac:dyDescent="0.25">
      <c r="A1986" t="s">
        <v>2028</v>
      </c>
      <c r="B1986">
        <v>1.325</v>
      </c>
    </row>
    <row r="1987" spans="1:2" x14ac:dyDescent="0.25">
      <c r="A1987" t="s">
        <v>2029</v>
      </c>
      <c r="B1987">
        <v>1.015E-4</v>
      </c>
    </row>
    <row r="1988" spans="1:2" x14ac:dyDescent="0.25">
      <c r="A1988" t="s">
        <v>2030</v>
      </c>
      <c r="B1988">
        <v>1.1619999999999999</v>
      </c>
    </row>
    <row r="1989" spans="1:2" x14ac:dyDescent="0.25">
      <c r="A1989" t="s">
        <v>2031</v>
      </c>
      <c r="B1989">
        <v>2.9169999999999998</v>
      </c>
    </row>
    <row r="1990" spans="1:2" x14ac:dyDescent="0.25">
      <c r="A1990" t="s">
        <v>2032</v>
      </c>
      <c r="B1990">
        <v>4.0720000000000001</v>
      </c>
    </row>
    <row r="1991" spans="1:2" x14ac:dyDescent="0.25">
      <c r="A1991" t="s">
        <v>2033</v>
      </c>
      <c r="B1991">
        <v>352.7</v>
      </c>
    </row>
    <row r="1992" spans="1:2" x14ac:dyDescent="0.25">
      <c r="A1992" t="s">
        <v>2034</v>
      </c>
      <c r="B1992">
        <v>0.15709999999999999</v>
      </c>
    </row>
    <row r="1993" spans="1:2" x14ac:dyDescent="0.25">
      <c r="A1993" t="s">
        <v>2035</v>
      </c>
      <c r="B1993">
        <v>2.362E-3</v>
      </c>
    </row>
    <row r="1994" spans="1:2" x14ac:dyDescent="0.25">
      <c r="A1994" t="s">
        <v>2036</v>
      </c>
      <c r="B1994">
        <v>1.3649999999999999E-3</v>
      </c>
    </row>
    <row r="1995" spans="1:2" x14ac:dyDescent="0.25">
      <c r="A1995" t="s">
        <v>2037</v>
      </c>
      <c r="B1995">
        <v>14.18</v>
      </c>
    </row>
    <row r="1996" spans="1:2" x14ac:dyDescent="0.25">
      <c r="A1996" t="s">
        <v>2038</v>
      </c>
      <c r="B1996">
        <v>3.6730000000000002E-5</v>
      </c>
    </row>
    <row r="1997" spans="1:2" x14ac:dyDescent="0.25">
      <c r="A1997" t="s">
        <v>2039</v>
      </c>
      <c r="B1997">
        <v>2.097</v>
      </c>
    </row>
    <row r="1998" spans="1:2" x14ac:dyDescent="0.25">
      <c r="A1998" t="s">
        <v>2040</v>
      </c>
      <c r="B1998">
        <v>0.83399999999999996</v>
      </c>
    </row>
    <row r="1999" spans="1:2" x14ac:dyDescent="0.25">
      <c r="A1999" t="s">
        <v>2041</v>
      </c>
      <c r="B1999">
        <v>2.9189999999999999E-4</v>
      </c>
    </row>
    <row r="2000" spans="1:2" x14ac:dyDescent="0.25">
      <c r="A2000" t="s">
        <v>2042</v>
      </c>
      <c r="B2000">
        <v>1.3660000000000001E-4</v>
      </c>
    </row>
    <row r="2001" spans="1:2" x14ac:dyDescent="0.25">
      <c r="A2001" t="s">
        <v>2043</v>
      </c>
      <c r="B2001">
        <v>177.35</v>
      </c>
    </row>
    <row r="2002" spans="1:2" x14ac:dyDescent="0.25">
      <c r="A2002" t="s">
        <v>2044</v>
      </c>
      <c r="B2002">
        <v>0.71609999999999996</v>
      </c>
    </row>
    <row r="2003" spans="1:2" x14ac:dyDescent="0.25">
      <c r="A2003" t="s">
        <v>2045</v>
      </c>
      <c r="B2003">
        <v>0.2107</v>
      </c>
    </row>
    <row r="2004" spans="1:2" x14ac:dyDescent="0.25">
      <c r="A2004" t="s">
        <v>2046</v>
      </c>
      <c r="B2004">
        <v>0.75460000000000005</v>
      </c>
    </row>
    <row r="2005" spans="1:2" x14ac:dyDescent="0.25">
      <c r="A2005" t="s">
        <v>2047</v>
      </c>
      <c r="B2005">
        <v>5.77</v>
      </c>
    </row>
    <row r="2006" spans="1:2" x14ac:dyDescent="0.25">
      <c r="A2006" t="s">
        <v>2048</v>
      </c>
      <c r="B2006">
        <v>36.020000000000003</v>
      </c>
    </row>
    <row r="2007" spans="1:2" x14ac:dyDescent="0.25">
      <c r="A2007" t="s">
        <v>2049</v>
      </c>
      <c r="B2007">
        <v>0</v>
      </c>
    </row>
    <row r="2008" spans="1:2" x14ac:dyDescent="0.25">
      <c r="A2008" t="s">
        <v>2050</v>
      </c>
      <c r="B2008">
        <v>6.6000000000000003E-7</v>
      </c>
    </row>
    <row r="2009" spans="1:2" x14ac:dyDescent="0.25">
      <c r="A2009" t="s">
        <v>2051</v>
      </c>
      <c r="B2009">
        <v>3.1080000000000001E-5</v>
      </c>
    </row>
    <row r="2010" spans="1:2" x14ac:dyDescent="0.25">
      <c r="A2010" t="s">
        <v>2052</v>
      </c>
      <c r="B2010">
        <v>2.7370000000000001</v>
      </c>
    </row>
    <row r="2011" spans="1:2" x14ac:dyDescent="0.25">
      <c r="A2011" t="s">
        <v>2053</v>
      </c>
      <c r="B2011">
        <v>1.1410000000000001E-3</v>
      </c>
    </row>
    <row r="2012" spans="1:2" x14ac:dyDescent="0.25">
      <c r="A2012" t="s">
        <v>2054</v>
      </c>
      <c r="B2012">
        <v>1.8879999999999999E-5</v>
      </c>
    </row>
    <row r="2013" spans="1:2" x14ac:dyDescent="0.25">
      <c r="A2013" t="s">
        <v>2055</v>
      </c>
      <c r="B2013">
        <v>1.7569999999999999</v>
      </c>
    </row>
    <row r="2014" spans="1:2" x14ac:dyDescent="0.25">
      <c r="A2014" t="s">
        <v>2056</v>
      </c>
      <c r="B2014">
        <v>0.2457</v>
      </c>
    </row>
    <row r="2015" spans="1:2" x14ac:dyDescent="0.25">
      <c r="A2015" t="s">
        <v>2057</v>
      </c>
      <c r="B2015">
        <v>2.0629999999999999E-2</v>
      </c>
    </row>
    <row r="2016" spans="1:2" x14ac:dyDescent="0.25">
      <c r="A2016" t="s">
        <v>2058</v>
      </c>
      <c r="B2016">
        <v>22.16</v>
      </c>
    </row>
    <row r="2017" spans="1:2" x14ac:dyDescent="0.25">
      <c r="A2017" t="s">
        <v>2059</v>
      </c>
      <c r="B2017">
        <v>5.6340000000000003</v>
      </c>
    </row>
    <row r="2018" spans="1:2" x14ac:dyDescent="0.25">
      <c r="A2018" t="s">
        <v>2060</v>
      </c>
      <c r="B2018">
        <v>4.4999999999999998E-7</v>
      </c>
    </row>
    <row r="2019" spans="1:2" x14ac:dyDescent="0.25">
      <c r="A2019" t="s">
        <v>2061</v>
      </c>
      <c r="B2019">
        <v>0.56950000000000001</v>
      </c>
    </row>
    <row r="2020" spans="1:2" x14ac:dyDescent="0.25">
      <c r="A2020" t="s">
        <v>2062</v>
      </c>
      <c r="B2020">
        <v>2.6580000000000002E-3</v>
      </c>
    </row>
    <row r="2021" spans="1:2" x14ac:dyDescent="0.25">
      <c r="A2021" t="s">
        <v>2063</v>
      </c>
      <c r="B2021">
        <v>6.2300000000000001E-2</v>
      </c>
    </row>
    <row r="2022" spans="1:2" x14ac:dyDescent="0.25">
      <c r="A2022" t="s">
        <v>2064</v>
      </c>
      <c r="B2022">
        <v>0.55000000000000004</v>
      </c>
    </row>
    <row r="2023" spans="1:2" x14ac:dyDescent="0.25">
      <c r="A2023" t="s">
        <v>2065</v>
      </c>
      <c r="B2023">
        <v>9.4E-7</v>
      </c>
    </row>
    <row r="2024" spans="1:2" x14ac:dyDescent="0.25">
      <c r="A2024" t="s">
        <v>2066</v>
      </c>
      <c r="B2024">
        <v>1.3069999999999999</v>
      </c>
    </row>
    <row r="2025" spans="1:2" x14ac:dyDescent="0.25">
      <c r="A2025" t="s">
        <v>2067</v>
      </c>
      <c r="B2025">
        <v>0.627</v>
      </c>
    </row>
    <row r="2026" spans="1:2" x14ac:dyDescent="0.25">
      <c r="A2026" t="s">
        <v>2068</v>
      </c>
      <c r="B2026">
        <v>1.393E-5</v>
      </c>
    </row>
    <row r="2027" spans="1:2" x14ac:dyDescent="0.25">
      <c r="A2027" t="s">
        <v>2069</v>
      </c>
      <c r="B2027">
        <v>5.7950000000000002E-2</v>
      </c>
    </row>
    <row r="2028" spans="1:2" x14ac:dyDescent="0.25">
      <c r="A2028" t="s">
        <v>2070</v>
      </c>
      <c r="B2028">
        <v>8.2100000000000003E-5</v>
      </c>
    </row>
    <row r="2029" spans="1:2" x14ac:dyDescent="0.25">
      <c r="A2029" t="s">
        <v>2071</v>
      </c>
      <c r="B2029">
        <v>1.9279999999999998E-5</v>
      </c>
    </row>
    <row r="2030" spans="1:2" x14ac:dyDescent="0.25">
      <c r="A2030" t="s">
        <v>2072</v>
      </c>
      <c r="B2030">
        <v>2.5419999999999998</v>
      </c>
    </row>
    <row r="2031" spans="1:2" x14ac:dyDescent="0.25">
      <c r="A2031" t="s">
        <v>2073</v>
      </c>
      <c r="B2031">
        <v>1.351</v>
      </c>
    </row>
    <row r="2032" spans="1:2" x14ac:dyDescent="0.25">
      <c r="A2032" t="s">
        <v>2074</v>
      </c>
      <c r="B2032">
        <v>4.8929999999999998E-3</v>
      </c>
    </row>
    <row r="2033" spans="1:2" x14ac:dyDescent="0.25">
      <c r="A2033" t="s">
        <v>2075</v>
      </c>
      <c r="B2033">
        <v>4.0729999999999998E-5</v>
      </c>
    </row>
    <row r="2034" spans="1:2" x14ac:dyDescent="0.25">
      <c r="A2034" t="s">
        <v>2076</v>
      </c>
      <c r="B2034">
        <v>4.568E-3</v>
      </c>
    </row>
    <row r="2035" spans="1:2" x14ac:dyDescent="0.25">
      <c r="A2035" t="s">
        <v>2077</v>
      </c>
      <c r="B2035">
        <v>2.5500000000000002E-3</v>
      </c>
    </row>
    <row r="2036" spans="1:2" x14ac:dyDescent="0.25">
      <c r="A2036" t="s">
        <v>2078</v>
      </c>
      <c r="B2036">
        <v>6.9600000000000003E-6</v>
      </c>
    </row>
    <row r="2037" spans="1:2" x14ac:dyDescent="0.25">
      <c r="A2037" t="s">
        <v>2079</v>
      </c>
      <c r="B2037">
        <v>0.995</v>
      </c>
    </row>
    <row r="2038" spans="1:2" x14ac:dyDescent="0.25">
      <c r="A2038" t="s">
        <v>2080</v>
      </c>
      <c r="B2038">
        <v>84.24</v>
      </c>
    </row>
    <row r="2039" spans="1:2" x14ac:dyDescent="0.25">
      <c r="A2039" t="s">
        <v>2081</v>
      </c>
      <c r="B2039">
        <v>1.744</v>
      </c>
    </row>
    <row r="2040" spans="1:2" x14ac:dyDescent="0.25">
      <c r="A2040" t="s">
        <v>2082</v>
      </c>
      <c r="B2040">
        <v>1.923</v>
      </c>
    </row>
    <row r="2041" spans="1:2" x14ac:dyDescent="0.25">
      <c r="A2041" t="s">
        <v>2083</v>
      </c>
      <c r="B2041">
        <v>2.0469999999999999E-5</v>
      </c>
    </row>
    <row r="2042" spans="1:2" x14ac:dyDescent="0.25">
      <c r="A2042" t="s">
        <v>2084</v>
      </c>
      <c r="B2042">
        <v>1195.9000000000001</v>
      </c>
    </row>
    <row r="2043" spans="1:2" x14ac:dyDescent="0.25">
      <c r="A2043" t="s">
        <v>2085</v>
      </c>
      <c r="B2043">
        <v>0.12132999999999999</v>
      </c>
    </row>
    <row r="2044" spans="1:2" x14ac:dyDescent="0.25">
      <c r="A2044" t="s">
        <v>2086</v>
      </c>
      <c r="B2044">
        <v>1.014E-4</v>
      </c>
    </row>
    <row r="2045" spans="1:2" x14ac:dyDescent="0.25">
      <c r="A2045" t="s">
        <v>2087</v>
      </c>
      <c r="B2045">
        <v>4.4469999999999999E-5</v>
      </c>
    </row>
    <row r="2046" spans="1:2" x14ac:dyDescent="0.25">
      <c r="A2046" t="s">
        <v>2088</v>
      </c>
      <c r="B2046">
        <v>11.675000000000001</v>
      </c>
    </row>
    <row r="2047" spans="1:2" x14ac:dyDescent="0.25">
      <c r="A2047" t="s">
        <v>2089</v>
      </c>
      <c r="B2047">
        <v>7.6199999999999998E-4</v>
      </c>
    </row>
    <row r="2048" spans="1:2" x14ac:dyDescent="0.25">
      <c r="A2048" t="s">
        <v>2090</v>
      </c>
      <c r="B2048">
        <v>1.9400000000000001E-5</v>
      </c>
    </row>
    <row r="2049" spans="1:2" x14ac:dyDescent="0.25">
      <c r="A2049" t="s">
        <v>2091</v>
      </c>
      <c r="B2049">
        <v>1.6980000000000001E-4</v>
      </c>
    </row>
    <row r="2050" spans="1:2" x14ac:dyDescent="0.25">
      <c r="A2050" t="s">
        <v>2092</v>
      </c>
      <c r="B2050">
        <v>31.38</v>
      </c>
    </row>
    <row r="2051" spans="1:2" x14ac:dyDescent="0.25">
      <c r="A2051" t="s">
        <v>2093</v>
      </c>
      <c r="B2051">
        <v>8.68</v>
      </c>
    </row>
    <row r="2052" spans="1:2" x14ac:dyDescent="0.25">
      <c r="A2052" t="s">
        <v>2094</v>
      </c>
      <c r="B2052">
        <v>0.1847</v>
      </c>
    </row>
    <row r="2053" spans="1:2" x14ac:dyDescent="0.25">
      <c r="A2053" t="s">
        <v>2095</v>
      </c>
      <c r="B2053">
        <v>6.88E-2</v>
      </c>
    </row>
    <row r="2054" spans="1:2" x14ac:dyDescent="0.25">
      <c r="A2054" t="s">
        <v>2096</v>
      </c>
      <c r="B2054">
        <v>3.0790000000000001E-2</v>
      </c>
    </row>
    <row r="2055" spans="1:2" x14ac:dyDescent="0.25">
      <c r="A2055" t="s">
        <v>2097</v>
      </c>
      <c r="B2055">
        <v>0.25359999999999999</v>
      </c>
    </row>
    <row r="2056" spans="1:2" x14ac:dyDescent="0.25">
      <c r="A2056" t="s">
        <v>2098</v>
      </c>
      <c r="B2056">
        <v>6.1799999999999997E-3</v>
      </c>
    </row>
    <row r="2057" spans="1:2" x14ac:dyDescent="0.25">
      <c r="A2057" t="s">
        <v>2099</v>
      </c>
      <c r="B2057">
        <v>0.33360000000000001</v>
      </c>
    </row>
    <row r="2058" spans="1:2" x14ac:dyDescent="0.25">
      <c r="A2058" t="s">
        <v>2100</v>
      </c>
      <c r="B2058">
        <v>1.7100000000000001E-4</v>
      </c>
    </row>
    <row r="2059" spans="1:2" x14ac:dyDescent="0.25">
      <c r="A2059" t="s">
        <v>2101</v>
      </c>
      <c r="B2059">
        <v>1.3265799999999999E-2</v>
      </c>
    </row>
    <row r="2060" spans="1:2" x14ac:dyDescent="0.25">
      <c r="A2060" t="s">
        <v>2102</v>
      </c>
      <c r="B2060">
        <v>1.9749999999999999E-5</v>
      </c>
    </row>
    <row r="2061" spans="1:2" x14ac:dyDescent="0.25">
      <c r="A2061" t="s">
        <v>2103</v>
      </c>
      <c r="B2061">
        <v>1.8029999999999999</v>
      </c>
    </row>
    <row r="2062" spans="1:2" x14ac:dyDescent="0.25">
      <c r="A2062" t="s">
        <v>2104</v>
      </c>
      <c r="B2062">
        <v>1.8560000000000001</v>
      </c>
    </row>
    <row r="2063" spans="1:2" x14ac:dyDescent="0.25">
      <c r="A2063" t="s">
        <v>2105</v>
      </c>
      <c r="B2063">
        <v>4.4160000000000004</v>
      </c>
    </row>
    <row r="2064" spans="1:2" x14ac:dyDescent="0.25">
      <c r="A2064" t="s">
        <v>2106</v>
      </c>
      <c r="B2064">
        <v>5.4299999999999999E-3</v>
      </c>
    </row>
    <row r="2065" spans="1:2" x14ac:dyDescent="0.25">
      <c r="A2065" t="s">
        <v>2107</v>
      </c>
      <c r="B2065">
        <v>2.1589999999999998</v>
      </c>
    </row>
    <row r="2066" spans="1:2" x14ac:dyDescent="0.25">
      <c r="A2066" t="s">
        <v>2108</v>
      </c>
      <c r="B2066">
        <v>1.4410000000000001</v>
      </c>
    </row>
    <row r="2067" spans="1:2" x14ac:dyDescent="0.25">
      <c r="A2067" t="s">
        <v>2109</v>
      </c>
      <c r="B2067">
        <v>9.7199999999999995E-2</v>
      </c>
    </row>
    <row r="2068" spans="1:2" x14ac:dyDescent="0.25">
      <c r="A2068" t="s">
        <v>2110</v>
      </c>
      <c r="B2068">
        <v>2.8180000000000002E-3</v>
      </c>
    </row>
    <row r="2069" spans="1:2" x14ac:dyDescent="0.25">
      <c r="A2069" t="s">
        <v>2111</v>
      </c>
      <c r="B2069">
        <v>1.7869999999999999</v>
      </c>
    </row>
    <row r="2070" spans="1:2" x14ac:dyDescent="0.25">
      <c r="A2070" t="s">
        <v>2112</v>
      </c>
      <c r="B2070">
        <v>2.8629999999999999E-2</v>
      </c>
    </row>
    <row r="2071" spans="1:2" x14ac:dyDescent="0.25">
      <c r="A2071" t="s">
        <v>2113</v>
      </c>
      <c r="B2071">
        <v>7.6800000000000002E-4</v>
      </c>
    </row>
    <row r="2072" spans="1:2" x14ac:dyDescent="0.25">
      <c r="A2072" t="s">
        <v>2114</v>
      </c>
      <c r="B2072">
        <v>40760.129999999997</v>
      </c>
    </row>
    <row r="2073" spans="1:2" x14ac:dyDescent="0.25">
      <c r="A2073" t="s">
        <v>2115</v>
      </c>
      <c r="B2073">
        <v>4.1169999999999998E-4</v>
      </c>
    </row>
    <row r="2074" spans="1:2" x14ac:dyDescent="0.25">
      <c r="A2074" t="s">
        <v>2116</v>
      </c>
      <c r="B2074">
        <v>3.5510000000000001E-4</v>
      </c>
    </row>
    <row r="2075" spans="1:2" x14ac:dyDescent="0.25">
      <c r="A2075" t="s">
        <v>2117</v>
      </c>
      <c r="B2075">
        <v>1.8489999999999999E-3</v>
      </c>
    </row>
    <row r="2076" spans="1:2" x14ac:dyDescent="0.25">
      <c r="A2076" t="s">
        <v>2118</v>
      </c>
      <c r="B2076">
        <v>1.3079999999999999E-3</v>
      </c>
    </row>
    <row r="2077" spans="1:2" x14ac:dyDescent="0.25">
      <c r="A2077" t="s">
        <v>2119</v>
      </c>
      <c r="B2077">
        <v>4.4999999999999999E-4</v>
      </c>
    </row>
    <row r="2078" spans="1:2" x14ac:dyDescent="0.25">
      <c r="A2078" t="s">
        <v>2120</v>
      </c>
      <c r="B2078">
        <v>6.6800000000000004E-6</v>
      </c>
    </row>
    <row r="2079" spans="1:2" x14ac:dyDescent="0.25">
      <c r="A2079" t="s">
        <v>2121</v>
      </c>
      <c r="B2079">
        <v>2.2409999999999999E-3</v>
      </c>
    </row>
    <row r="2080" spans="1:2" x14ac:dyDescent="0.25">
      <c r="A2080" t="s">
        <v>2122</v>
      </c>
      <c r="B2080">
        <v>2.6649999999999998E-3</v>
      </c>
    </row>
    <row r="2081" spans="1:2" x14ac:dyDescent="0.25">
      <c r="A2081" t="s">
        <v>2123</v>
      </c>
      <c r="B2081">
        <v>17.399999999999999</v>
      </c>
    </row>
    <row r="2082" spans="1:2" x14ac:dyDescent="0.25">
      <c r="A2082" t="s">
        <v>2124</v>
      </c>
      <c r="B2082">
        <v>5.4799999999999998E-4</v>
      </c>
    </row>
    <row r="2083" spans="1:2" x14ac:dyDescent="0.25">
      <c r="A2083" t="s">
        <v>2125</v>
      </c>
      <c r="B2083">
        <v>909.7</v>
      </c>
    </row>
    <row r="2084" spans="1:2" x14ac:dyDescent="0.25">
      <c r="A2084" t="s">
        <v>2126</v>
      </c>
      <c r="B2084">
        <v>3.5209999999999998E-3</v>
      </c>
    </row>
    <row r="2085" spans="1:2" x14ac:dyDescent="0.25">
      <c r="A2085" t="s">
        <v>2127</v>
      </c>
      <c r="B2085">
        <v>1.4809999999999999E-3</v>
      </c>
    </row>
    <row r="2086" spans="1:2" x14ac:dyDescent="0.25">
      <c r="A2086" t="s">
        <v>2128</v>
      </c>
      <c r="B2086">
        <v>0.17860000000000001</v>
      </c>
    </row>
    <row r="2087" spans="1:2" x14ac:dyDescent="0.25">
      <c r="A2087" t="s">
        <v>2129</v>
      </c>
      <c r="B2087">
        <v>15.74</v>
      </c>
    </row>
    <row r="2088" spans="1:2" x14ac:dyDescent="0.25">
      <c r="A2088" t="s">
        <v>2130</v>
      </c>
      <c r="B2088">
        <v>4.2400000000000001E-6</v>
      </c>
    </row>
    <row r="2089" spans="1:2" x14ac:dyDescent="0.25">
      <c r="A2089" t="s">
        <v>2131</v>
      </c>
      <c r="B2089">
        <v>0.41399999999999998</v>
      </c>
    </row>
    <row r="2090" spans="1:2" x14ac:dyDescent="0.25">
      <c r="A2090" t="s">
        <v>2132</v>
      </c>
      <c r="B2090">
        <v>0.40150000000000002</v>
      </c>
    </row>
    <row r="2091" spans="1:2" x14ac:dyDescent="0.25">
      <c r="A2091" t="s">
        <v>2133</v>
      </c>
      <c r="B2091">
        <v>1.2508999999999999</v>
      </c>
    </row>
    <row r="2092" spans="1:2" x14ac:dyDescent="0.25">
      <c r="A2092" t="s">
        <v>2134</v>
      </c>
      <c r="B2092">
        <v>0.53559999999999997</v>
      </c>
    </row>
    <row r="2093" spans="1:2" x14ac:dyDescent="0.25">
      <c r="A2093" t="s">
        <v>2135</v>
      </c>
      <c r="B2093">
        <v>1551.73</v>
      </c>
    </row>
    <row r="2094" spans="1:2" x14ac:dyDescent="0.25">
      <c r="A2094" t="s">
        <v>2136</v>
      </c>
      <c r="B2094">
        <v>4.0030000000000003E-2</v>
      </c>
    </row>
    <row r="2095" spans="1:2" x14ac:dyDescent="0.25">
      <c r="A2095" t="s">
        <v>2137</v>
      </c>
      <c r="B2095">
        <v>1.47E-2</v>
      </c>
    </row>
    <row r="2096" spans="1:2" x14ac:dyDescent="0.25">
      <c r="A2096" t="s">
        <v>2138</v>
      </c>
      <c r="B2096">
        <v>7.9600000000000001E-3</v>
      </c>
    </row>
    <row r="2097" spans="1:2" x14ac:dyDescent="0.25">
      <c r="A2097" t="s">
        <v>2139</v>
      </c>
      <c r="B2097">
        <v>1.1038E-4</v>
      </c>
    </row>
    <row r="2098" spans="1:2" x14ac:dyDescent="0.25">
      <c r="A2098" t="s">
        <v>2140</v>
      </c>
      <c r="B2098">
        <v>0.65880000000000005</v>
      </c>
    </row>
    <row r="2099" spans="1:2" x14ac:dyDescent="0.25">
      <c r="A2099" t="s">
        <v>2141</v>
      </c>
      <c r="B2099">
        <v>9.2159999999999993</v>
      </c>
    </row>
    <row r="2100" spans="1:2" x14ac:dyDescent="0.25">
      <c r="A2100" t="s">
        <v>2142</v>
      </c>
      <c r="B2100">
        <v>0.35399999999999998</v>
      </c>
    </row>
    <row r="2101" spans="1:2" x14ac:dyDescent="0.25">
      <c r="A2101" t="s">
        <v>2143</v>
      </c>
      <c r="B2101">
        <v>0.315</v>
      </c>
    </row>
    <row r="2102" spans="1:2" x14ac:dyDescent="0.25">
      <c r="A2102" t="s">
        <v>2144</v>
      </c>
      <c r="B2102">
        <v>4.2169999999999999E-2</v>
      </c>
    </row>
    <row r="2103" spans="1:2" x14ac:dyDescent="0.25">
      <c r="A2103" t="s">
        <v>2145</v>
      </c>
      <c r="B2103">
        <v>3.3199999999999999E-4</v>
      </c>
    </row>
    <row r="2104" spans="1:2" x14ac:dyDescent="0.25">
      <c r="A2104" t="s">
        <v>2146</v>
      </c>
      <c r="B2104">
        <v>31.67</v>
      </c>
    </row>
    <row r="2105" spans="1:2" x14ac:dyDescent="0.25">
      <c r="A2105" t="s">
        <v>2147</v>
      </c>
      <c r="B2105">
        <v>27.87</v>
      </c>
    </row>
    <row r="2106" spans="1:2" x14ac:dyDescent="0.25">
      <c r="A2106" t="s">
        <v>2148</v>
      </c>
      <c r="B2106">
        <v>0.29947000000000001</v>
      </c>
    </row>
    <row r="2107" spans="1:2" x14ac:dyDescent="0.25">
      <c r="A2107" t="s">
        <v>2149</v>
      </c>
      <c r="B2107">
        <v>0.35499999999999998</v>
      </c>
    </row>
    <row r="2108" spans="1:2" x14ac:dyDescent="0.25">
      <c r="A2108" t="s">
        <v>2150</v>
      </c>
      <c r="B2108">
        <v>2.283E-2</v>
      </c>
    </row>
    <row r="2109" spans="1:2" x14ac:dyDescent="0.25">
      <c r="A2109" t="s">
        <v>2151</v>
      </c>
      <c r="B2109">
        <v>2.9100000000000001E-6</v>
      </c>
    </row>
    <row r="2110" spans="1:2" x14ac:dyDescent="0.25">
      <c r="A2110" t="s">
        <v>2152</v>
      </c>
      <c r="B2110">
        <v>0.1217</v>
      </c>
    </row>
    <row r="2111" spans="1:2" x14ac:dyDescent="0.25">
      <c r="A2111" t="s">
        <v>2153</v>
      </c>
      <c r="B2111">
        <v>0.27300000000000002</v>
      </c>
    </row>
    <row r="2112" spans="1:2" x14ac:dyDescent="0.25">
      <c r="A2112" t="s">
        <v>2154</v>
      </c>
      <c r="B2112">
        <v>9.6500000000000001E-5</v>
      </c>
    </row>
    <row r="2113" spans="1:2" x14ac:dyDescent="0.25">
      <c r="A2113" t="s">
        <v>2155</v>
      </c>
      <c r="B2113">
        <v>9.07</v>
      </c>
    </row>
    <row r="2114" spans="1:2" x14ac:dyDescent="0.25">
      <c r="A2114" t="s">
        <v>2156</v>
      </c>
      <c r="B2114">
        <v>7.3197999999999999</v>
      </c>
    </row>
    <row r="2115" spans="1:2" x14ac:dyDescent="0.25">
      <c r="A2115" t="s">
        <v>2157</v>
      </c>
      <c r="B2115">
        <v>390981</v>
      </c>
    </row>
    <row r="2116" spans="1:2" x14ac:dyDescent="0.25">
      <c r="A2116" t="s">
        <v>2158</v>
      </c>
      <c r="B2116">
        <v>14085</v>
      </c>
    </row>
    <row r="2117" spans="1:2" x14ac:dyDescent="0.25">
      <c r="A2117" t="s">
        <v>2159</v>
      </c>
      <c r="B2117">
        <v>4.0650000000000004</v>
      </c>
    </row>
    <row r="2118" spans="1:2" x14ac:dyDescent="0.25">
      <c r="A2118" t="s">
        <v>2160</v>
      </c>
      <c r="B2118">
        <v>8.75</v>
      </c>
    </row>
    <row r="2119" spans="1:2" x14ac:dyDescent="0.25">
      <c r="A2119" t="s">
        <v>2161</v>
      </c>
      <c r="B2119">
        <v>320.8</v>
      </c>
    </row>
    <row r="2120" spans="1:2" x14ac:dyDescent="0.25">
      <c r="A2120" t="s">
        <v>2162</v>
      </c>
      <c r="B2120">
        <v>39.76</v>
      </c>
    </row>
    <row r="2121" spans="1:2" x14ac:dyDescent="0.25">
      <c r="A2121" t="s">
        <v>2163</v>
      </c>
      <c r="B2121">
        <v>8.6949999999999996E-3</v>
      </c>
    </row>
    <row r="2122" spans="1:2" x14ac:dyDescent="0.25">
      <c r="A2122" t="s">
        <v>2164</v>
      </c>
      <c r="B2122">
        <v>8.8400000000000001E-6</v>
      </c>
    </row>
    <row r="2123" spans="1:2" x14ac:dyDescent="0.25">
      <c r="A2123" t="s">
        <v>2165</v>
      </c>
      <c r="B2123">
        <v>0.4496</v>
      </c>
    </row>
    <row r="2124" spans="1:2" x14ac:dyDescent="0.25">
      <c r="A2124" t="s">
        <v>2166</v>
      </c>
      <c r="B2124">
        <v>0.46400000000000002</v>
      </c>
    </row>
    <row r="2125" spans="1:2" x14ac:dyDescent="0.25">
      <c r="A2125" t="s">
        <v>2167</v>
      </c>
      <c r="B2125">
        <v>2.2400000000000002E-6</v>
      </c>
    </row>
    <row r="2126" spans="1:2" x14ac:dyDescent="0.25">
      <c r="A2126" t="s">
        <v>2168</v>
      </c>
      <c r="B2126">
        <v>0.25890000000000002</v>
      </c>
    </row>
    <row r="2127" spans="1:2" x14ac:dyDescent="0.25">
      <c r="A2127" t="s">
        <v>2169</v>
      </c>
      <c r="B2127">
        <v>0.2117</v>
      </c>
    </row>
    <row r="2128" spans="1:2" x14ac:dyDescent="0.25">
      <c r="A2128" t="s">
        <v>2170</v>
      </c>
      <c r="B2128">
        <v>2.3629999999999999E-5</v>
      </c>
    </row>
    <row r="2129" spans="1:2" x14ac:dyDescent="0.25">
      <c r="A2129" t="s">
        <v>2171</v>
      </c>
      <c r="B2129">
        <v>1.645</v>
      </c>
    </row>
    <row r="2130" spans="1:2" x14ac:dyDescent="0.25">
      <c r="A2130" t="s">
        <v>2172</v>
      </c>
      <c r="B2130">
        <v>1.7260000000000001E-2</v>
      </c>
    </row>
    <row r="2131" spans="1:2" x14ac:dyDescent="0.25">
      <c r="A2131" t="s">
        <v>2173</v>
      </c>
      <c r="B2131">
        <v>7.8800000000000008E-6</v>
      </c>
    </row>
    <row r="2132" spans="1:2" x14ac:dyDescent="0.25">
      <c r="A2132" t="s">
        <v>2174</v>
      </c>
      <c r="B2132">
        <v>0.44729999999999998</v>
      </c>
    </row>
    <row r="2133" spans="1:2" x14ac:dyDescent="0.25">
      <c r="A2133" t="s">
        <v>2175</v>
      </c>
      <c r="B2133">
        <v>0.89410000000000001</v>
      </c>
    </row>
    <row r="2134" spans="1:2" x14ac:dyDescent="0.25">
      <c r="A2134" t="s">
        <v>2176</v>
      </c>
      <c r="B2134">
        <v>3.1952999999999999E-3</v>
      </c>
    </row>
    <row r="2135" spans="1:2" x14ac:dyDescent="0.25">
      <c r="A2135" t="s">
        <v>2177</v>
      </c>
      <c r="B2135">
        <v>4.7500000000000003E-6</v>
      </c>
    </row>
    <row r="2136" spans="1:2" x14ac:dyDescent="0.25">
      <c r="A2136" t="s">
        <v>2178</v>
      </c>
      <c r="B2136">
        <v>0.5585</v>
      </c>
    </row>
    <row r="2137" spans="1:2" x14ac:dyDescent="0.25">
      <c r="A2137" t="s">
        <v>2179</v>
      </c>
      <c r="B2137">
        <v>0.4461</v>
      </c>
    </row>
    <row r="2138" spans="1:2" x14ac:dyDescent="0.25">
      <c r="A2138" t="s">
        <v>2180</v>
      </c>
      <c r="B2138">
        <v>4.6280000000000001</v>
      </c>
    </row>
    <row r="2139" spans="1:2" x14ac:dyDescent="0.25">
      <c r="A2139" t="s">
        <v>2181</v>
      </c>
      <c r="B2139">
        <v>2.5310000000000003E-4</v>
      </c>
    </row>
    <row r="2140" spans="1:2" x14ac:dyDescent="0.25">
      <c r="A2140" t="s">
        <v>2182</v>
      </c>
      <c r="B2140">
        <v>0.56479999999999997</v>
      </c>
    </row>
    <row r="2141" spans="1:2" x14ac:dyDescent="0.25">
      <c r="A2141" t="s">
        <v>2183</v>
      </c>
      <c r="B2141">
        <v>6.4099999999999997E-4</v>
      </c>
    </row>
    <row r="2142" spans="1:2" x14ac:dyDescent="0.25">
      <c r="A2142" t="s">
        <v>2184</v>
      </c>
      <c r="B2142">
        <v>24.17</v>
      </c>
    </row>
    <row r="2143" spans="1:2" x14ac:dyDescent="0.25">
      <c r="A2143" t="s">
        <v>2185</v>
      </c>
      <c r="B2143">
        <v>11.94</v>
      </c>
    </row>
    <row r="2144" spans="1:2" x14ac:dyDescent="0.25">
      <c r="A2144" t="s">
        <v>2186</v>
      </c>
      <c r="B2144">
        <v>0.57699999999999996</v>
      </c>
    </row>
    <row r="2145" spans="1:2" x14ac:dyDescent="0.25">
      <c r="A2145" t="s">
        <v>2187</v>
      </c>
      <c r="B2145">
        <v>46.38</v>
      </c>
    </row>
    <row r="2146" spans="1:2" x14ac:dyDescent="0.25">
      <c r="A2146" t="s">
        <v>2188</v>
      </c>
      <c r="B2146">
        <v>2.911E-2</v>
      </c>
    </row>
    <row r="2147" spans="1:2" x14ac:dyDescent="0.25">
      <c r="A2147" t="s">
        <v>2189</v>
      </c>
      <c r="B2147">
        <v>0.61409999999999998</v>
      </c>
    </row>
    <row r="2148" spans="1:2" x14ac:dyDescent="0.25">
      <c r="A2148" t="s">
        <v>2190</v>
      </c>
      <c r="B2148">
        <v>2.6770000000000001E-3</v>
      </c>
    </row>
    <row r="2149" spans="1:2" x14ac:dyDescent="0.25">
      <c r="A2149" t="s">
        <v>2191</v>
      </c>
      <c r="B2149">
        <v>450880</v>
      </c>
    </row>
    <row r="2150" spans="1:2" x14ac:dyDescent="0.25">
      <c r="A2150" t="s">
        <v>2192</v>
      </c>
      <c r="B2150">
        <v>1.8919999999999999</v>
      </c>
    </row>
    <row r="2151" spans="1:2" x14ac:dyDescent="0.25">
      <c r="A2151" t="s">
        <v>2193</v>
      </c>
      <c r="B2151">
        <v>7.2100000000000004E-5</v>
      </c>
    </row>
    <row r="2152" spans="1:2" x14ac:dyDescent="0.25">
      <c r="A2152" t="s">
        <v>2194</v>
      </c>
      <c r="B2152">
        <v>1.152E-5</v>
      </c>
    </row>
    <row r="2153" spans="1:2" x14ac:dyDescent="0.25">
      <c r="A2153" t="s">
        <v>2195</v>
      </c>
      <c r="B2153">
        <v>0.62170000000000003</v>
      </c>
    </row>
    <row r="2154" spans="1:2" x14ac:dyDescent="0.25">
      <c r="A2154" t="s">
        <v>2196</v>
      </c>
      <c r="B2154">
        <v>9.7000000000000003E-2</v>
      </c>
    </row>
    <row r="2155" spans="1:2" x14ac:dyDescent="0.25">
      <c r="A2155" t="s">
        <v>2197</v>
      </c>
      <c r="B2155">
        <v>25.99</v>
      </c>
    </row>
    <row r="2156" spans="1:2" x14ac:dyDescent="0.25">
      <c r="A2156" t="s">
        <v>2198</v>
      </c>
      <c r="B2156">
        <v>1.87</v>
      </c>
    </row>
    <row r="2157" spans="1:2" x14ac:dyDescent="0.25">
      <c r="A2157" t="s">
        <v>2199</v>
      </c>
      <c r="B2157">
        <v>1.9910000000000001E-5</v>
      </c>
    </row>
    <row r="2158" spans="1:2" x14ac:dyDescent="0.25">
      <c r="A2158" t="s">
        <v>2200</v>
      </c>
      <c r="B2158">
        <v>7.5500000000000003E-3</v>
      </c>
    </row>
    <row r="2159" spans="1:2" x14ac:dyDescent="0.25">
      <c r="A2159" t="s">
        <v>2201</v>
      </c>
      <c r="B2159">
        <v>1556.27</v>
      </c>
    </row>
    <row r="2160" spans="1:2" x14ac:dyDescent="0.25">
      <c r="A2160" t="s">
        <v>2202</v>
      </c>
      <c r="B2160">
        <v>5.673</v>
      </c>
    </row>
    <row r="2161" spans="1:2" x14ac:dyDescent="0.25">
      <c r="A2161" t="s">
        <v>2203</v>
      </c>
      <c r="B2161">
        <v>54.3</v>
      </c>
    </row>
    <row r="2162" spans="1:2" x14ac:dyDescent="0.25">
      <c r="A2162" t="s">
        <v>2204</v>
      </c>
      <c r="B2162">
        <v>1.9859999999999999E-2</v>
      </c>
    </row>
    <row r="2163" spans="1:2" x14ac:dyDescent="0.25">
      <c r="A2163" t="s">
        <v>2205</v>
      </c>
      <c r="B2163">
        <v>4.6130000000000004</v>
      </c>
    </row>
    <row r="2164" spans="1:2" x14ac:dyDescent="0.25">
      <c r="A2164" t="s">
        <v>2206</v>
      </c>
      <c r="B2164">
        <v>0.36620000000000003</v>
      </c>
    </row>
    <row r="2165" spans="1:2" x14ac:dyDescent="0.25">
      <c r="A2165" t="s">
        <v>2207</v>
      </c>
      <c r="B2165">
        <v>6.32</v>
      </c>
    </row>
    <row r="2166" spans="1:2" x14ac:dyDescent="0.25">
      <c r="A2166" t="s">
        <v>2208</v>
      </c>
      <c r="B2166">
        <v>9.8740000000000008E-3</v>
      </c>
    </row>
    <row r="2167" spans="1:2" x14ac:dyDescent="0.25">
      <c r="A2167" t="s">
        <v>2209</v>
      </c>
      <c r="B2167">
        <v>0.32719999999999999</v>
      </c>
    </row>
    <row r="2168" spans="1:2" x14ac:dyDescent="0.25">
      <c r="A2168" t="s">
        <v>2210</v>
      </c>
      <c r="B2168">
        <v>4.8099999999999997E-6</v>
      </c>
    </row>
    <row r="2169" spans="1:2" x14ac:dyDescent="0.25">
      <c r="A2169" t="s">
        <v>2211</v>
      </c>
      <c r="B2169">
        <v>9.4930000000000004E-4</v>
      </c>
    </row>
    <row r="2170" spans="1:2" x14ac:dyDescent="0.25">
      <c r="A2170" t="s">
        <v>2212</v>
      </c>
      <c r="B2170">
        <v>0.45150000000000001</v>
      </c>
    </row>
    <row r="2171" spans="1:2" x14ac:dyDescent="0.25">
      <c r="A2171" t="s">
        <v>2213</v>
      </c>
      <c r="B2171">
        <v>7.9200000000000004E-6</v>
      </c>
    </row>
    <row r="2172" spans="1:2" x14ac:dyDescent="0.25">
      <c r="A2172" t="s">
        <v>2214</v>
      </c>
      <c r="B2172">
        <v>0.74570000000000003</v>
      </c>
    </row>
    <row r="2173" spans="1:2" x14ac:dyDescent="0.25">
      <c r="A2173" t="s">
        <v>2215</v>
      </c>
      <c r="B2173">
        <v>20.14</v>
      </c>
    </row>
    <row r="2174" spans="1:2" x14ac:dyDescent="0.25">
      <c r="A2174" t="s">
        <v>2216</v>
      </c>
      <c r="B2174">
        <v>4.8309999999999999E-2</v>
      </c>
    </row>
    <row r="2175" spans="1:2" x14ac:dyDescent="0.25">
      <c r="A2175" t="s">
        <v>2217</v>
      </c>
      <c r="B2175">
        <v>3.5799999999999998E-2</v>
      </c>
    </row>
    <row r="2176" spans="1:2" x14ac:dyDescent="0.25">
      <c r="A2176" t="s">
        <v>2218</v>
      </c>
      <c r="B2176">
        <v>0.74880000000000002</v>
      </c>
    </row>
    <row r="2177" spans="1:2" x14ac:dyDescent="0.25">
      <c r="A2177" t="s">
        <v>2219</v>
      </c>
      <c r="B2177">
        <v>26.38</v>
      </c>
    </row>
    <row r="2178" spans="1:2" x14ac:dyDescent="0.25">
      <c r="A2178" t="s">
        <v>2220</v>
      </c>
      <c r="B2178">
        <v>0.72070000000000001</v>
      </c>
    </row>
    <row r="2179" spans="1:2" x14ac:dyDescent="0.25">
      <c r="A2179" t="s">
        <v>2221</v>
      </c>
      <c r="B2179">
        <v>0.88207999999999998</v>
      </c>
    </row>
    <row r="2180" spans="1:2" x14ac:dyDescent="0.25">
      <c r="A2180" t="s">
        <v>2222</v>
      </c>
      <c r="B2180">
        <v>15.96</v>
      </c>
    </row>
    <row r="2181" spans="1:2" x14ac:dyDescent="0.25">
      <c r="A2181" t="s">
        <v>2223</v>
      </c>
      <c r="B2181">
        <v>0.18769</v>
      </c>
    </row>
    <row r="2182" spans="1:2" x14ac:dyDescent="0.25">
      <c r="A2182" t="s">
        <v>2224</v>
      </c>
      <c r="B2182">
        <v>2.4670000000000001</v>
      </c>
    </row>
    <row r="2183" spans="1:2" x14ac:dyDescent="0.25">
      <c r="A2183" t="s">
        <v>2225</v>
      </c>
      <c r="B2183">
        <v>0.50429999999999997</v>
      </c>
    </row>
    <row r="2184" spans="1:2" x14ac:dyDescent="0.25">
      <c r="A2184" t="s">
        <v>2226</v>
      </c>
      <c r="B2184">
        <v>2.9969999999999999</v>
      </c>
    </row>
    <row r="2185" spans="1:2" x14ac:dyDescent="0.25">
      <c r="A2185" t="s">
        <v>2227</v>
      </c>
      <c r="B2185">
        <v>194.56</v>
      </c>
    </row>
    <row r="2186" spans="1:2" x14ac:dyDescent="0.25">
      <c r="A2186" t="s">
        <v>2228</v>
      </c>
      <c r="B2186">
        <v>45.55</v>
      </c>
    </row>
    <row r="2187" spans="1:2" x14ac:dyDescent="0.25">
      <c r="A2187" t="s">
        <v>2229</v>
      </c>
      <c r="B2187">
        <v>1.0699999999999999E-6</v>
      </c>
    </row>
    <row r="2188" spans="1:2" x14ac:dyDescent="0.25">
      <c r="A2188" t="s">
        <v>2230</v>
      </c>
      <c r="B2188">
        <v>0.06</v>
      </c>
    </row>
    <row r="2189" spans="1:2" x14ac:dyDescent="0.25">
      <c r="A2189" t="s">
        <v>2231</v>
      </c>
      <c r="B2189">
        <v>0.30099999999999999</v>
      </c>
    </row>
    <row r="2190" spans="1:2" x14ac:dyDescent="0.25">
      <c r="A2190" t="s">
        <v>2232</v>
      </c>
      <c r="B2190">
        <v>95.1</v>
      </c>
    </row>
    <row r="2191" spans="1:2" x14ac:dyDescent="0.25">
      <c r="A2191" t="s">
        <v>2233</v>
      </c>
      <c r="B2191">
        <v>12.22</v>
      </c>
    </row>
    <row r="2192" spans="1:2" x14ac:dyDescent="0.25">
      <c r="A2192" t="s">
        <v>2234</v>
      </c>
      <c r="B2192">
        <v>15.82</v>
      </c>
    </row>
    <row r="2193" spans="1:2" x14ac:dyDescent="0.25">
      <c r="A2193" t="s">
        <v>2235</v>
      </c>
      <c r="B2193">
        <v>4.1470000000000002</v>
      </c>
    </row>
    <row r="2194" spans="1:2" x14ac:dyDescent="0.25">
      <c r="A2194" t="s">
        <v>2236</v>
      </c>
      <c r="B2194">
        <v>0.93799999999999994</v>
      </c>
    </row>
    <row r="2195" spans="1:2" x14ac:dyDescent="0.25">
      <c r="A2195" t="s">
        <v>2237</v>
      </c>
      <c r="B2195">
        <v>339.5</v>
      </c>
    </row>
    <row r="2196" spans="1:2" x14ac:dyDescent="0.25">
      <c r="A2196" t="s">
        <v>2238</v>
      </c>
      <c r="B2196">
        <v>171.5</v>
      </c>
    </row>
    <row r="2197" spans="1:2" x14ac:dyDescent="0.25">
      <c r="A2197" t="s">
        <v>2239</v>
      </c>
      <c r="B2197">
        <v>4.7859999999999996</v>
      </c>
    </row>
    <row r="2198" spans="1:2" x14ac:dyDescent="0.25">
      <c r="A2198" t="s">
        <v>2240</v>
      </c>
      <c r="B2198">
        <v>1216.7</v>
      </c>
    </row>
    <row r="2199" spans="1:2" x14ac:dyDescent="0.25">
      <c r="A2199" t="s">
        <v>2241</v>
      </c>
      <c r="B2199">
        <v>0.31806000000000001</v>
      </c>
    </row>
    <row r="2200" spans="1:2" x14ac:dyDescent="0.25">
      <c r="A2200" t="s">
        <v>2242</v>
      </c>
      <c r="B2200">
        <v>93863.39</v>
      </c>
    </row>
    <row r="2201" spans="1:2" x14ac:dyDescent="0.25">
      <c r="A2201" t="s">
        <v>2243</v>
      </c>
      <c r="B2201">
        <v>0.53979999999999995</v>
      </c>
    </row>
    <row r="2202" spans="1:2" x14ac:dyDescent="0.25">
      <c r="A2202" t="s">
        <v>2244</v>
      </c>
      <c r="B2202">
        <v>1.06098</v>
      </c>
    </row>
    <row r="2203" spans="1:2" x14ac:dyDescent="0.25">
      <c r="A2203" t="s">
        <v>2245</v>
      </c>
      <c r="B2203">
        <v>1.8105E-3</v>
      </c>
    </row>
    <row r="2204" spans="1:2" x14ac:dyDescent="0.25">
      <c r="A2204" t="s">
        <v>2246</v>
      </c>
      <c r="B2204">
        <v>5.7100000000000004E-6</v>
      </c>
    </row>
    <row r="2205" spans="1:2" x14ac:dyDescent="0.25">
      <c r="A2205" t="s">
        <v>2247</v>
      </c>
      <c r="B2205">
        <v>0.47455000000000003</v>
      </c>
    </row>
    <row r="2206" spans="1:2" x14ac:dyDescent="0.25">
      <c r="A2206" t="s">
        <v>2248</v>
      </c>
      <c r="B2206">
        <v>19.09</v>
      </c>
    </row>
    <row r="2207" spans="1:2" x14ac:dyDescent="0.25">
      <c r="A2207" t="s">
        <v>2249</v>
      </c>
      <c r="B2207">
        <v>4.3007</v>
      </c>
    </row>
    <row r="2208" spans="1:2" x14ac:dyDescent="0.25">
      <c r="A2208" t="s">
        <v>2250</v>
      </c>
      <c r="B2208">
        <v>4.0669000000000004</v>
      </c>
    </row>
    <row r="2209" spans="1:2" x14ac:dyDescent="0.25">
      <c r="A2209" t="s">
        <v>2251</v>
      </c>
      <c r="B2209">
        <v>4.5750000000000001E-5</v>
      </c>
    </row>
    <row r="2210" spans="1:2" x14ac:dyDescent="0.25">
      <c r="A2210" t="s">
        <v>2252</v>
      </c>
      <c r="B2210">
        <v>6.0749999999999997E-3</v>
      </c>
    </row>
    <row r="2211" spans="1:2" x14ac:dyDescent="0.25">
      <c r="A2211" t="s">
        <v>2253</v>
      </c>
      <c r="B2211">
        <v>4.1538000000000004</v>
      </c>
    </row>
    <row r="2212" spans="1:2" x14ac:dyDescent="0.25">
      <c r="A2212" t="s">
        <v>2254</v>
      </c>
      <c r="B2212">
        <v>151.85</v>
      </c>
    </row>
    <row r="2213" spans="1:2" x14ac:dyDescent="0.25">
      <c r="A2213" t="s">
        <v>2255</v>
      </c>
      <c r="B2213">
        <v>0.15479999999999999</v>
      </c>
    </row>
    <row r="2214" spans="1:2" x14ac:dyDescent="0.25">
      <c r="A2214" t="s">
        <v>2256</v>
      </c>
      <c r="B2214">
        <v>233.63</v>
      </c>
    </row>
    <row r="2215" spans="1:2" x14ac:dyDescent="0.25">
      <c r="A2215" t="s">
        <v>2257</v>
      </c>
      <c r="B2215">
        <v>1.84E-5</v>
      </c>
    </row>
    <row r="2216" spans="1:2" x14ac:dyDescent="0.25">
      <c r="A2216" t="s">
        <v>2258</v>
      </c>
      <c r="B2216">
        <v>2.351E-5</v>
      </c>
    </row>
    <row r="2217" spans="1:2" x14ac:dyDescent="0.25">
      <c r="A2217" t="s">
        <v>2259</v>
      </c>
      <c r="B2217">
        <v>1.7776000000000001E-4</v>
      </c>
    </row>
    <row r="2218" spans="1:2" x14ac:dyDescent="0.25">
      <c r="A2218" t="s">
        <v>2260</v>
      </c>
      <c r="B2218">
        <v>3.2030000000000003E-5</v>
      </c>
    </row>
    <row r="2219" spans="1:2" x14ac:dyDescent="0.25">
      <c r="A2219" t="s">
        <v>2261</v>
      </c>
      <c r="B2219">
        <v>172.1</v>
      </c>
    </row>
    <row r="2220" spans="1:2" x14ac:dyDescent="0.25">
      <c r="A2220" t="s">
        <v>2262</v>
      </c>
      <c r="B2220">
        <v>6.5001000000000002E-4</v>
      </c>
    </row>
    <row r="2221" spans="1:2" x14ac:dyDescent="0.25">
      <c r="A2221" t="s">
        <v>2263</v>
      </c>
      <c r="B2221">
        <v>1.0579000000000001</v>
      </c>
    </row>
    <row r="2222" spans="1:2" x14ac:dyDescent="0.25">
      <c r="A2222" t="s">
        <v>2264</v>
      </c>
      <c r="B2222">
        <v>0.1153</v>
      </c>
    </row>
    <row r="2223" spans="1:2" x14ac:dyDescent="0.25">
      <c r="A2223" t="s">
        <v>2265</v>
      </c>
      <c r="B2223">
        <v>4.1570000000000003E-2</v>
      </c>
    </row>
    <row r="2224" spans="1:2" x14ac:dyDescent="0.25">
      <c r="A2224" t="s">
        <v>2266</v>
      </c>
      <c r="B2224">
        <v>6.2849999999999998E-3</v>
      </c>
    </row>
    <row r="2225" spans="1:2" x14ac:dyDescent="0.25">
      <c r="A2225" t="s">
        <v>2267</v>
      </c>
      <c r="B2225">
        <v>68.7</v>
      </c>
    </row>
    <row r="2226" spans="1:2" x14ac:dyDescent="0.25">
      <c r="A2226" t="s">
        <v>2283</v>
      </c>
      <c r="B2226">
        <v>0.45729999999999998</v>
      </c>
    </row>
    <row r="2227" spans="1:2" x14ac:dyDescent="0.25">
      <c r="A2227" t="s">
        <v>2284</v>
      </c>
      <c r="B2227">
        <v>2.2720000000000001E-3</v>
      </c>
    </row>
    <row r="2228" spans="1:2" x14ac:dyDescent="0.25">
      <c r="A2228" t="s">
        <v>2285</v>
      </c>
      <c r="B2228">
        <v>16.170000000000002</v>
      </c>
    </row>
    <row r="2229" spans="1:2" x14ac:dyDescent="0.25">
      <c r="A2229" t="s">
        <v>2286</v>
      </c>
      <c r="B2229">
        <v>3561</v>
      </c>
    </row>
    <row r="2230" spans="1:2" x14ac:dyDescent="0.25">
      <c r="A2230" t="s">
        <v>2287</v>
      </c>
      <c r="B2230">
        <v>46.44</v>
      </c>
    </row>
    <row r="2231" spans="1:2" x14ac:dyDescent="0.25">
      <c r="A2231" t="s">
        <v>2289</v>
      </c>
      <c r="B2231">
        <v>114400100</v>
      </c>
    </row>
    <row r="2232" spans="1:2" x14ac:dyDescent="0.25">
      <c r="A2232" t="s">
        <v>2290</v>
      </c>
      <c r="B2232">
        <v>65.67</v>
      </c>
    </row>
    <row r="2233" spans="1:2" x14ac:dyDescent="0.25">
      <c r="A2233" t="s">
        <v>2291</v>
      </c>
      <c r="B2233">
        <v>93023</v>
      </c>
    </row>
    <row r="2234" spans="1:2" x14ac:dyDescent="0.25">
      <c r="A2234" t="s">
        <v>2292</v>
      </c>
      <c r="B2234">
        <v>2.26E-6</v>
      </c>
    </row>
    <row r="2235" spans="1:2" x14ac:dyDescent="0.25">
      <c r="A2235" t="s">
        <v>2293</v>
      </c>
      <c r="B2235">
        <v>0.21240000000000001</v>
      </c>
    </row>
    <row r="2236" spans="1:2" x14ac:dyDescent="0.25">
      <c r="A2236" t="s">
        <v>2294</v>
      </c>
      <c r="B2236">
        <v>0.21940000000000001</v>
      </c>
    </row>
    <row r="2237" spans="1:2" x14ac:dyDescent="0.25">
      <c r="A2237" t="s">
        <v>2295</v>
      </c>
      <c r="B2237">
        <v>0.22120000000000001</v>
      </c>
    </row>
    <row r="2238" spans="1:2" x14ac:dyDescent="0.25">
      <c r="A2238" t="s">
        <v>2385</v>
      </c>
      <c r="B2238">
        <v>5.49E-5</v>
      </c>
    </row>
    <row r="2239" spans="1:2" x14ac:dyDescent="0.25">
      <c r="A2239" t="s">
        <v>2386</v>
      </c>
      <c r="B2239">
        <v>5.1580000000000004</v>
      </c>
    </row>
    <row r="2240" spans="1:2" x14ac:dyDescent="0.25">
      <c r="A2240" t="s">
        <v>2387</v>
      </c>
      <c r="B2240">
        <v>2.7044000000000001</v>
      </c>
    </row>
    <row r="2241" spans="1:2" x14ac:dyDescent="0.25">
      <c r="A2241" t="s">
        <v>2388</v>
      </c>
      <c r="B2241">
        <v>7.53</v>
      </c>
    </row>
    <row r="2242" spans="1:2" x14ac:dyDescent="0.25">
      <c r="A2242" t="s">
        <v>2389</v>
      </c>
      <c r="B2242">
        <v>20.100000000000001</v>
      </c>
    </row>
    <row r="2243" spans="1:2" x14ac:dyDescent="0.25">
      <c r="A2243" t="s">
        <v>2390</v>
      </c>
      <c r="B2243">
        <v>35.340000000000003</v>
      </c>
    </row>
    <row r="2244" spans="1:2" x14ac:dyDescent="0.25">
      <c r="A2244" t="s">
        <v>2391</v>
      </c>
      <c r="B2244">
        <v>2.2049999999999999E-4</v>
      </c>
    </row>
    <row r="2245" spans="1:2" x14ac:dyDescent="0.25">
      <c r="A2245" t="s">
        <v>2392</v>
      </c>
      <c r="B2245">
        <v>15820</v>
      </c>
    </row>
    <row r="2246" spans="1:2" x14ac:dyDescent="0.25">
      <c r="A2246" t="s">
        <v>2393</v>
      </c>
      <c r="B2246">
        <v>0.47270000000000001</v>
      </c>
    </row>
    <row r="2247" spans="1:2" x14ac:dyDescent="0.25">
      <c r="A2247" t="s">
        <v>2394</v>
      </c>
      <c r="B2247">
        <v>6.2690000000000003E-3</v>
      </c>
    </row>
    <row r="2248" spans="1:2" x14ac:dyDescent="0.25">
      <c r="A2248" t="s">
        <v>2395</v>
      </c>
      <c r="B2248">
        <v>1.466</v>
      </c>
    </row>
    <row r="2249" spans="1:2" x14ac:dyDescent="0.25">
      <c r="A2249" t="s">
        <v>2396</v>
      </c>
      <c r="B2249">
        <v>1.151</v>
      </c>
    </row>
    <row r="2250" spans="1:2" x14ac:dyDescent="0.25">
      <c r="A2250" t="s">
        <v>2397</v>
      </c>
      <c r="B2250">
        <v>51.84</v>
      </c>
    </row>
    <row r="2251" spans="1:2" x14ac:dyDescent="0.25">
      <c r="A2251" t="s">
        <v>2398</v>
      </c>
      <c r="B2251">
        <v>2.0760000000000002E-3</v>
      </c>
    </row>
    <row r="2252" spans="1:2" x14ac:dyDescent="0.25">
      <c r="A2252" t="s">
        <v>2399</v>
      </c>
      <c r="B2252">
        <v>1.5659999999999999E-5</v>
      </c>
    </row>
    <row r="2253" spans="1:2" x14ac:dyDescent="0.25">
      <c r="A2253" t="s">
        <v>2400</v>
      </c>
      <c r="B2253">
        <v>3587.59</v>
      </c>
    </row>
    <row r="2254" spans="1:2" x14ac:dyDescent="0.25">
      <c r="A2254" t="s">
        <v>2401</v>
      </c>
      <c r="B2254">
        <v>3.9350000000000001</v>
      </c>
    </row>
    <row r="2255" spans="1:2" x14ac:dyDescent="0.25">
      <c r="A2255" t="s">
        <v>2402</v>
      </c>
      <c r="B2255">
        <v>27.66</v>
      </c>
    </row>
    <row r="2256" spans="1:2" x14ac:dyDescent="0.25">
      <c r="A2256" t="s">
        <v>2403</v>
      </c>
      <c r="B2256">
        <v>84.22</v>
      </c>
    </row>
    <row r="2257" spans="1:2" x14ac:dyDescent="0.25">
      <c r="A2257" t="s">
        <v>2404</v>
      </c>
      <c r="B2257">
        <v>2752</v>
      </c>
    </row>
    <row r="2258" spans="1:2" x14ac:dyDescent="0.25">
      <c r="A2258" t="s">
        <v>2405</v>
      </c>
      <c r="B2258">
        <v>1.224E-3</v>
      </c>
    </row>
    <row r="2259" spans="1:2" x14ac:dyDescent="0.25">
      <c r="A2259" t="s">
        <v>2406</v>
      </c>
      <c r="B2259">
        <v>4.6679999999999999E-2</v>
      </c>
    </row>
    <row r="2260" spans="1:2" x14ac:dyDescent="0.25">
      <c r="A2260" t="s">
        <v>2407</v>
      </c>
      <c r="B2260">
        <v>2.113</v>
      </c>
    </row>
    <row r="2261" spans="1:2" x14ac:dyDescent="0.25">
      <c r="A2261" t="s">
        <v>2408</v>
      </c>
      <c r="B2261">
        <v>2.249E-5</v>
      </c>
    </row>
    <row r="2262" spans="1:2" x14ac:dyDescent="0.25">
      <c r="A2262" t="s">
        <v>2409</v>
      </c>
      <c r="B2262">
        <v>706.76</v>
      </c>
    </row>
    <row r="2263" spans="1:2" x14ac:dyDescent="0.25">
      <c r="A2263" t="s">
        <v>2410</v>
      </c>
      <c r="B2263">
        <v>1</v>
      </c>
    </row>
    <row r="2264" spans="1:2" x14ac:dyDescent="0.25">
      <c r="A2264" t="s">
        <v>2411</v>
      </c>
      <c r="B2264">
        <v>1.0009999999999999</v>
      </c>
    </row>
    <row r="2265" spans="1:2" x14ac:dyDescent="0.25">
      <c r="A2265" t="s">
        <v>2412</v>
      </c>
      <c r="B2265">
        <v>40.11</v>
      </c>
    </row>
    <row r="2266" spans="1:2" x14ac:dyDescent="0.25">
      <c r="A2266" t="s">
        <v>2413</v>
      </c>
      <c r="B2266">
        <v>74.680000000000007</v>
      </c>
    </row>
    <row r="2267" spans="1:2" x14ac:dyDescent="0.25">
      <c r="A2267" t="s">
        <v>2414</v>
      </c>
      <c r="B2267">
        <v>218.3</v>
      </c>
    </row>
    <row r="2268" spans="1:2" x14ac:dyDescent="0.25">
      <c r="A2268" t="s">
        <v>2415</v>
      </c>
      <c r="B2268">
        <v>0.27310000000000001</v>
      </c>
    </row>
    <row r="2269" spans="1:2" x14ac:dyDescent="0.25">
      <c r="A2269" t="s">
        <v>2416</v>
      </c>
      <c r="B2269">
        <v>4.399</v>
      </c>
    </row>
    <row r="2270" spans="1:2" x14ac:dyDescent="0.25">
      <c r="A2270" t="s">
        <v>2417</v>
      </c>
      <c r="B2270">
        <v>93868.04</v>
      </c>
    </row>
    <row r="2271" spans="1:2" x14ac:dyDescent="0.25">
      <c r="A2271" t="s">
        <v>2418</v>
      </c>
      <c r="B2271">
        <v>3389.9</v>
      </c>
    </row>
    <row r="2272" spans="1:2" x14ac:dyDescent="0.25">
      <c r="A2272" t="s">
        <v>2419</v>
      </c>
      <c r="B2272">
        <v>70.63</v>
      </c>
    </row>
    <row r="2273" spans="1:2" x14ac:dyDescent="0.25">
      <c r="A2273" t="s">
        <v>2420</v>
      </c>
      <c r="B2273">
        <v>75.459999999999994</v>
      </c>
    </row>
    <row r="2274" spans="1:2" x14ac:dyDescent="0.25">
      <c r="A2274" t="s">
        <v>2421</v>
      </c>
      <c r="B2274">
        <v>55.29</v>
      </c>
    </row>
    <row r="2275" spans="1:2" x14ac:dyDescent="0.25">
      <c r="A2275" t="s">
        <v>2422</v>
      </c>
      <c r="B2275">
        <v>79.97</v>
      </c>
    </row>
    <row r="2276" spans="1:2" x14ac:dyDescent="0.25">
      <c r="A2276" t="s">
        <v>2423</v>
      </c>
      <c r="B2276">
        <v>57.07</v>
      </c>
    </row>
    <row r="2277" spans="1:2" x14ac:dyDescent="0.25">
      <c r="A2277" t="s">
        <v>2424</v>
      </c>
      <c r="B2277">
        <v>114.05</v>
      </c>
    </row>
    <row r="2278" spans="1:2" x14ac:dyDescent="0.25">
      <c r="A2278" t="s">
        <v>2425</v>
      </c>
      <c r="B2278">
        <v>5.8739999999999997E-4</v>
      </c>
    </row>
    <row r="2279" spans="1:2" x14ac:dyDescent="0.25">
      <c r="A2279" t="s">
        <v>2426</v>
      </c>
      <c r="B2279">
        <v>4.42E-6</v>
      </c>
    </row>
    <row r="2280" spans="1:2" x14ac:dyDescent="0.25">
      <c r="A2280" t="s">
        <v>2427</v>
      </c>
      <c r="B2280">
        <v>0.4148</v>
      </c>
    </row>
    <row r="2281" spans="1:2" x14ac:dyDescent="0.25">
      <c r="A2281" t="s">
        <v>2428</v>
      </c>
      <c r="B2281">
        <v>14.728</v>
      </c>
    </row>
    <row r="2282" spans="1:2" x14ac:dyDescent="0.25">
      <c r="A2282" t="s">
        <v>2429</v>
      </c>
      <c r="B2282">
        <v>0.41520000000000001</v>
      </c>
    </row>
    <row r="2283" spans="1:2" x14ac:dyDescent="0.25">
      <c r="A2283" t="s">
        <v>2430</v>
      </c>
      <c r="B2283">
        <v>4.803E-3</v>
      </c>
    </row>
    <row r="2284" spans="1:2" x14ac:dyDescent="0.25">
      <c r="A2284" t="s">
        <v>2431</v>
      </c>
      <c r="B2284">
        <v>3.6170000000000001E-5</v>
      </c>
    </row>
    <row r="2285" spans="1:2" x14ac:dyDescent="0.25">
      <c r="A2285" t="s">
        <v>2432</v>
      </c>
      <c r="B2285">
        <v>3.407</v>
      </c>
    </row>
    <row r="2286" spans="1:2" x14ac:dyDescent="0.25">
      <c r="A2286" t="s">
        <v>2433</v>
      </c>
      <c r="B2286">
        <v>120.5</v>
      </c>
    </row>
    <row r="2287" spans="1:2" x14ac:dyDescent="0.25">
      <c r="A2287" t="s">
        <v>2434</v>
      </c>
      <c r="B2287">
        <v>3.3980000000000001</v>
      </c>
    </row>
    <row r="2288" spans="1:2" x14ac:dyDescent="0.25">
      <c r="A2288" t="s">
        <v>2435</v>
      </c>
      <c r="B2288">
        <v>3.7650000000000001</v>
      </c>
    </row>
    <row r="2289" spans="1:2" x14ac:dyDescent="0.25">
      <c r="A2289" t="s">
        <v>2436</v>
      </c>
      <c r="B2289">
        <v>0.36330000000000001</v>
      </c>
    </row>
    <row r="2290" spans="1:2" x14ac:dyDescent="0.25">
      <c r="A2290" t="s">
        <v>2437</v>
      </c>
      <c r="B2290">
        <v>544.20000000000005</v>
      </c>
    </row>
    <row r="2291" spans="1:2" x14ac:dyDescent="0.25">
      <c r="A2291" t="s">
        <v>2438</v>
      </c>
      <c r="B2291">
        <v>478.1</v>
      </c>
    </row>
    <row r="2292" spans="1:2" x14ac:dyDescent="0.25">
      <c r="A2292" t="s">
        <v>2440</v>
      </c>
      <c r="B2292">
        <v>194.3</v>
      </c>
    </row>
    <row r="2293" spans="1:2" x14ac:dyDescent="0.25">
      <c r="A2293" t="s">
        <v>2441</v>
      </c>
      <c r="B2293">
        <v>40.26</v>
      </c>
    </row>
    <row r="2294" spans="1:2" x14ac:dyDescent="0.25">
      <c r="A2294" t="s">
        <v>2442</v>
      </c>
      <c r="B2294">
        <v>46.1</v>
      </c>
    </row>
    <row r="2295" spans="1:2" x14ac:dyDescent="0.25">
      <c r="A2295" t="s">
        <v>2443</v>
      </c>
      <c r="B2295">
        <v>2.0876000000000001</v>
      </c>
    </row>
    <row r="2296" spans="1:2" x14ac:dyDescent="0.25">
      <c r="A2296" t="s">
        <v>2444</v>
      </c>
      <c r="B2296">
        <v>0.31734000000000001</v>
      </c>
    </row>
    <row r="2297" spans="1:2" x14ac:dyDescent="0.25">
      <c r="A2297" t="s">
        <v>2445</v>
      </c>
      <c r="B2297">
        <v>9.8900000000000008E-4</v>
      </c>
    </row>
    <row r="2298" spans="1:2" x14ac:dyDescent="0.25">
      <c r="A2298" t="s">
        <v>2446</v>
      </c>
      <c r="B2298">
        <v>38.799999999999997</v>
      </c>
    </row>
    <row r="2299" spans="1:2" x14ac:dyDescent="0.25">
      <c r="A2299" t="s">
        <v>2468</v>
      </c>
      <c r="B2299">
        <v>0.54490000000000005</v>
      </c>
    </row>
    <row r="2300" spans="1:2" x14ac:dyDescent="0.25">
      <c r="A2300" t="s">
        <v>2469</v>
      </c>
      <c r="B2300">
        <v>14.24</v>
      </c>
    </row>
    <row r="2301" spans="1:2" x14ac:dyDescent="0.25">
      <c r="A2301" t="s">
        <v>2470</v>
      </c>
      <c r="B2301">
        <v>1.9599999999999999E-3</v>
      </c>
    </row>
    <row r="2302" spans="1:2" x14ac:dyDescent="0.25">
      <c r="A2302" t="s">
        <v>2471</v>
      </c>
      <c r="B2302">
        <v>7.169E-3</v>
      </c>
    </row>
    <row r="2303" spans="1:2" x14ac:dyDescent="0.25">
      <c r="A2303" t="s">
        <v>2472</v>
      </c>
      <c r="B2303">
        <v>1.0129999999999999</v>
      </c>
    </row>
    <row r="2304" spans="1:2" x14ac:dyDescent="0.25">
      <c r="A2304" t="s">
        <v>2473</v>
      </c>
      <c r="B2304">
        <v>0.74529999999999996</v>
      </c>
    </row>
    <row r="2305" spans="1:2" x14ac:dyDescent="0.25">
      <c r="A2305" t="s">
        <v>2474</v>
      </c>
      <c r="B2305">
        <v>35.380000000000003</v>
      </c>
    </row>
    <row r="2306" spans="1:2" x14ac:dyDescent="0.25">
      <c r="A2306" t="s">
        <v>2475</v>
      </c>
      <c r="B2306">
        <v>30.14</v>
      </c>
    </row>
    <row r="2307" spans="1:2" x14ac:dyDescent="0.25">
      <c r="A2307" t="s">
        <v>2476</v>
      </c>
      <c r="B2307">
        <v>4.2967000000000004</v>
      </c>
    </row>
    <row r="2308" spans="1:2" x14ac:dyDescent="0.25">
      <c r="A2308" t="s">
        <v>2477</v>
      </c>
      <c r="B2308">
        <v>6.2099999999999998E-6</v>
      </c>
    </row>
    <row r="2309" spans="1:2" x14ac:dyDescent="0.25">
      <c r="A2309" t="s">
        <v>2478</v>
      </c>
      <c r="B2309">
        <v>0.3634</v>
      </c>
    </row>
    <row r="2310" spans="1:2" x14ac:dyDescent="0.25">
      <c r="A2310" t="s">
        <v>2479</v>
      </c>
      <c r="B2310">
        <v>5.1500000000000005E-4</v>
      </c>
    </row>
    <row r="2311" spans="1:2" x14ac:dyDescent="0.25">
      <c r="A2311" t="s">
        <v>2480</v>
      </c>
      <c r="B2311">
        <v>5.0119999999999996</v>
      </c>
    </row>
    <row r="2312" spans="1:2" x14ac:dyDescent="0.25">
      <c r="A2312" t="s">
        <v>2481</v>
      </c>
      <c r="B2312">
        <v>0.91379999999999995</v>
      </c>
    </row>
    <row r="2313" spans="1:2" x14ac:dyDescent="0.25">
      <c r="A2313" t="s">
        <v>2482</v>
      </c>
      <c r="B2313">
        <v>6.5420000000000006E-2</v>
      </c>
    </row>
    <row r="2314" spans="1:2" x14ac:dyDescent="0.25">
      <c r="A2314" t="s">
        <v>2483</v>
      </c>
      <c r="B2314">
        <v>100.73</v>
      </c>
    </row>
    <row r="2315" spans="1:2" x14ac:dyDescent="0.25">
      <c r="A2315" t="s">
        <v>2484</v>
      </c>
      <c r="B2315">
        <v>0.86270000000000002</v>
      </c>
    </row>
    <row r="2316" spans="1:2" x14ac:dyDescent="0.25">
      <c r="A2316" t="s">
        <v>2485</v>
      </c>
      <c r="B2316">
        <v>5.5010000000000003</v>
      </c>
    </row>
    <row r="2317" spans="1:2" x14ac:dyDescent="0.25">
      <c r="A2317" t="s">
        <v>2486</v>
      </c>
      <c r="B2317">
        <v>2290</v>
      </c>
    </row>
    <row r="2318" spans="1:2" x14ac:dyDescent="0.25">
      <c r="A2318" t="s">
        <v>2487</v>
      </c>
      <c r="B2318">
        <v>6.4130000000000003</v>
      </c>
    </row>
    <row r="2319" spans="1:2" x14ac:dyDescent="0.25">
      <c r="A2319" t="s">
        <v>2488</v>
      </c>
      <c r="B2319">
        <v>36.69</v>
      </c>
    </row>
    <row r="2320" spans="1:2" x14ac:dyDescent="0.25">
      <c r="A2320" t="s">
        <v>2489</v>
      </c>
      <c r="B2320">
        <v>37.909999999999997</v>
      </c>
    </row>
    <row r="2321" spans="1:2" x14ac:dyDescent="0.25">
      <c r="A2321" t="s">
        <v>2490</v>
      </c>
      <c r="B2321">
        <v>447.3</v>
      </c>
    </row>
    <row r="2322" spans="1:2" x14ac:dyDescent="0.25">
      <c r="A2322" t="s">
        <v>2491</v>
      </c>
      <c r="B2322">
        <v>1.6539999999999999</v>
      </c>
    </row>
    <row r="2323" spans="1:2" x14ac:dyDescent="0.25">
      <c r="A2323" t="s">
        <v>2492</v>
      </c>
      <c r="B2323">
        <v>0.3795</v>
      </c>
    </row>
    <row r="2324" spans="1:2" x14ac:dyDescent="0.25">
      <c r="A2324" t="s">
        <v>2493</v>
      </c>
      <c r="B2324">
        <v>0.12139999999999999</v>
      </c>
    </row>
    <row r="2325" spans="1:2" x14ac:dyDescent="0.25">
      <c r="A2325" t="s">
        <v>2494</v>
      </c>
      <c r="B2325">
        <v>6.8179999999999996</v>
      </c>
    </row>
    <row r="2326" spans="1:2" x14ac:dyDescent="0.25">
      <c r="A2326" t="s">
        <v>2495</v>
      </c>
      <c r="B2326">
        <v>0.73970000000000002</v>
      </c>
    </row>
    <row r="2327" spans="1:2" x14ac:dyDescent="0.25">
      <c r="A2327" t="s">
        <v>2496</v>
      </c>
      <c r="B2327">
        <v>20.95</v>
      </c>
    </row>
    <row r="2328" spans="1:2" x14ac:dyDescent="0.25">
      <c r="A2328" t="s">
        <v>2497</v>
      </c>
      <c r="B2328">
        <v>5.1260000000000003</v>
      </c>
    </row>
    <row r="2329" spans="1:2" x14ac:dyDescent="0.25">
      <c r="A2329" t="s">
        <v>2498</v>
      </c>
      <c r="B2329">
        <v>2.6040000000000001</v>
      </c>
    </row>
    <row r="2330" spans="1:2" x14ac:dyDescent="0.25">
      <c r="A2330" t="s">
        <v>2499</v>
      </c>
      <c r="B2330">
        <v>5.1900000000000001E-5</v>
      </c>
    </row>
    <row r="2331" spans="1:2" x14ac:dyDescent="0.25">
      <c r="A2331" t="s">
        <v>2500</v>
      </c>
      <c r="B2331">
        <v>4.8769999999999998</v>
      </c>
    </row>
    <row r="2332" spans="1:2" x14ac:dyDescent="0.25">
      <c r="A2332" t="s">
        <v>2501</v>
      </c>
      <c r="B2332">
        <v>172.3</v>
      </c>
    </row>
    <row r="2333" spans="1:2" x14ac:dyDescent="0.25">
      <c r="A2333" t="s">
        <v>2503</v>
      </c>
      <c r="B2333">
        <v>4.1069999999999998E-5</v>
      </c>
    </row>
    <row r="2334" spans="1:2" x14ac:dyDescent="0.25">
      <c r="A2334" t="s">
        <v>2504</v>
      </c>
      <c r="B2334">
        <v>1.099E-2</v>
      </c>
    </row>
    <row r="2335" spans="1:2" x14ac:dyDescent="0.25">
      <c r="A2335" t="s">
        <v>2505</v>
      </c>
      <c r="B2335">
        <v>1.099E-2</v>
      </c>
    </row>
    <row r="2336" spans="1:2" x14ac:dyDescent="0.25">
      <c r="A2336" t="s">
        <v>2506</v>
      </c>
      <c r="B2336">
        <v>2.7220000000000001E-2</v>
      </c>
    </row>
    <row r="2337" spans="1:2" x14ac:dyDescent="0.25">
      <c r="A2337" t="s">
        <v>2507</v>
      </c>
      <c r="B2337">
        <v>0.3886</v>
      </c>
    </row>
    <row r="2338" spans="1:2" x14ac:dyDescent="0.25">
      <c r="A2338" t="s">
        <v>2508</v>
      </c>
      <c r="B2338">
        <v>2.898E-4</v>
      </c>
    </row>
    <row r="2339" spans="1:2" x14ac:dyDescent="0.25">
      <c r="A2339" t="s">
        <v>2509</v>
      </c>
      <c r="B2339">
        <v>27.28</v>
      </c>
    </row>
    <row r="2340" spans="1:2" x14ac:dyDescent="0.25">
      <c r="A2340" t="s">
        <v>2510</v>
      </c>
      <c r="B2340">
        <v>967</v>
      </c>
    </row>
    <row r="2341" spans="1:2" x14ac:dyDescent="0.25">
      <c r="A2341" t="s">
        <v>2511</v>
      </c>
      <c r="B2341">
        <v>34.979999999999997</v>
      </c>
    </row>
    <row r="2342" spans="1:2" x14ac:dyDescent="0.25">
      <c r="A2342" t="s">
        <v>2512</v>
      </c>
      <c r="B2342">
        <v>1.3149999999999999</v>
      </c>
    </row>
    <row r="2343" spans="1:2" x14ac:dyDescent="0.25">
      <c r="A2343" t="s">
        <v>2513</v>
      </c>
      <c r="B2343">
        <v>2.7850000000000001</v>
      </c>
    </row>
    <row r="2344" spans="1:2" x14ac:dyDescent="0.25">
      <c r="A2344" t="s">
        <v>2514</v>
      </c>
      <c r="B2344">
        <v>6.0470000000000003E-3</v>
      </c>
    </row>
    <row r="2345" spans="1:2" x14ac:dyDescent="0.25">
      <c r="A2345" t="s">
        <v>2515</v>
      </c>
      <c r="B2345">
        <v>26.23</v>
      </c>
    </row>
    <row r="2346" spans="1:2" x14ac:dyDescent="0.25">
      <c r="A2346" t="s">
        <v>2516</v>
      </c>
      <c r="B2346">
        <v>1.8580000000000001</v>
      </c>
    </row>
    <row r="2347" spans="1:2" x14ac:dyDescent="0.25">
      <c r="A2347" t="s">
        <v>2517</v>
      </c>
      <c r="B2347">
        <v>27.29</v>
      </c>
    </row>
    <row r="2348" spans="1:2" x14ac:dyDescent="0.25">
      <c r="A2348" t="s">
        <v>2518</v>
      </c>
      <c r="B2348">
        <v>36.89</v>
      </c>
    </row>
    <row r="2349" spans="1:2" x14ac:dyDescent="0.25">
      <c r="A2349" t="s">
        <v>2519</v>
      </c>
      <c r="B2349">
        <v>7.0289999999999999</v>
      </c>
    </row>
    <row r="2350" spans="1:2" x14ac:dyDescent="0.25">
      <c r="A2350" t="s">
        <v>2520</v>
      </c>
      <c r="B2350">
        <v>1.766E-5</v>
      </c>
    </row>
    <row r="2351" spans="1:2" x14ac:dyDescent="0.25">
      <c r="A2351" t="s">
        <v>2521</v>
      </c>
      <c r="B2351">
        <v>2.647E-2</v>
      </c>
    </row>
    <row r="2352" spans="1:2" x14ac:dyDescent="0.25">
      <c r="A2352" t="s">
        <v>2522</v>
      </c>
      <c r="B2352">
        <v>19.27</v>
      </c>
    </row>
    <row r="2353" spans="1:2" x14ac:dyDescent="0.25">
      <c r="A2353" t="s">
        <v>2523</v>
      </c>
      <c r="B2353">
        <v>0.93630000000000002</v>
      </c>
    </row>
    <row r="2354" spans="1:2" x14ac:dyDescent="0.25">
      <c r="A2354" t="s">
        <v>2524</v>
      </c>
      <c r="B2354">
        <v>90.47</v>
      </c>
    </row>
    <row r="2355" spans="1:2" x14ac:dyDescent="0.25">
      <c r="A2355" t="s">
        <v>2525</v>
      </c>
      <c r="B2355">
        <v>2.774</v>
      </c>
    </row>
    <row r="2356" spans="1:2" x14ac:dyDescent="0.25">
      <c r="A2356" t="s">
        <v>2526</v>
      </c>
      <c r="B2356">
        <v>1.5347</v>
      </c>
    </row>
    <row r="2357" spans="1:2" x14ac:dyDescent="0.25">
      <c r="A2357" t="s">
        <v>2527</v>
      </c>
      <c r="B2357">
        <v>0.32229999999999998</v>
      </c>
    </row>
    <row r="2358" spans="1:2" x14ac:dyDescent="0.25">
      <c r="A2358" t="s">
        <v>2528</v>
      </c>
      <c r="B2358">
        <v>4.657</v>
      </c>
    </row>
    <row r="2359" spans="1:2" x14ac:dyDescent="0.25">
      <c r="A2359" t="s">
        <v>2529</v>
      </c>
      <c r="B2359">
        <v>6.4</v>
      </c>
    </row>
    <row r="2360" spans="1:2" x14ac:dyDescent="0.25">
      <c r="A2360" t="s">
        <v>2530</v>
      </c>
      <c r="B2360">
        <v>7.0979999999999999</v>
      </c>
    </row>
    <row r="2361" spans="1:2" x14ac:dyDescent="0.25">
      <c r="A2361" t="s">
        <v>2531</v>
      </c>
      <c r="B2361">
        <v>3.5150000000000001E-2</v>
      </c>
    </row>
    <row r="2362" spans="1:2" x14ac:dyDescent="0.25">
      <c r="A2362" t="s">
        <v>2532</v>
      </c>
      <c r="B2362">
        <v>2.1120000000000001</v>
      </c>
    </row>
    <row r="2363" spans="1:2" x14ac:dyDescent="0.25">
      <c r="A2363" t="s">
        <v>2533</v>
      </c>
      <c r="B2363">
        <v>163.30000000000001</v>
      </c>
    </row>
    <row r="2364" spans="1:2" x14ac:dyDescent="0.25">
      <c r="A2364" t="s">
        <v>2534</v>
      </c>
      <c r="B2364">
        <v>12.89</v>
      </c>
    </row>
    <row r="2365" spans="1:2" x14ac:dyDescent="0.25">
      <c r="A2365" t="s">
        <v>2535</v>
      </c>
      <c r="B2365">
        <v>4.2799999999999997E-6</v>
      </c>
    </row>
    <row r="2366" spans="1:2" x14ac:dyDescent="0.25">
      <c r="A2366" t="s">
        <v>2536</v>
      </c>
      <c r="B2366">
        <v>0.40500000000000003</v>
      </c>
    </row>
    <row r="2367" spans="1:2" x14ac:dyDescent="0.25">
      <c r="A2367" t="s">
        <v>2537</v>
      </c>
      <c r="B2367">
        <v>14.31</v>
      </c>
    </row>
    <row r="2368" spans="1:2" x14ac:dyDescent="0.25">
      <c r="A2368" t="s">
        <v>2538</v>
      </c>
      <c r="B2368">
        <v>2.7E-6</v>
      </c>
    </row>
    <row r="2369" spans="1:2" x14ac:dyDescent="0.25">
      <c r="A2369" t="s">
        <v>2539</v>
      </c>
      <c r="B2369">
        <v>0.25390000000000001</v>
      </c>
    </row>
    <row r="2370" spans="1:2" x14ac:dyDescent="0.25">
      <c r="A2370" t="s">
        <v>2540</v>
      </c>
      <c r="B2370">
        <v>8.9700000000000006</v>
      </c>
    </row>
    <row r="2371" spans="1:2" x14ac:dyDescent="0.25">
      <c r="A2371" t="s">
        <v>2541</v>
      </c>
      <c r="B2371">
        <v>0.20899999999999999</v>
      </c>
    </row>
    <row r="2372" spans="1:2" x14ac:dyDescent="0.25">
      <c r="A2372" t="s">
        <v>2542</v>
      </c>
      <c r="B2372">
        <v>0.60119999999999996</v>
      </c>
    </row>
    <row r="2373" spans="1:2" x14ac:dyDescent="0.25">
      <c r="A2373" t="s">
        <v>2543</v>
      </c>
      <c r="B2373">
        <v>1.9900000000000001E-2</v>
      </c>
    </row>
    <row r="2374" spans="1:2" x14ac:dyDescent="0.25">
      <c r="A2374" t="s">
        <v>2544</v>
      </c>
      <c r="B2374">
        <v>0.70340000000000003</v>
      </c>
    </row>
    <row r="2375" spans="1:2" x14ac:dyDescent="0.25">
      <c r="A2375" t="s">
        <v>2545</v>
      </c>
      <c r="B2375">
        <v>54.39</v>
      </c>
    </row>
    <row r="2376" spans="1:2" x14ac:dyDescent="0.25">
      <c r="A2376" t="s">
        <v>2546</v>
      </c>
      <c r="B2376">
        <v>0.11020000000000001</v>
      </c>
    </row>
    <row r="2377" spans="1:2" x14ac:dyDescent="0.25">
      <c r="A2377" t="s">
        <v>2547</v>
      </c>
      <c r="B2377">
        <v>1.17E-6</v>
      </c>
    </row>
    <row r="2378" spans="1:2" x14ac:dyDescent="0.25">
      <c r="A2378" t="s">
        <v>2549</v>
      </c>
      <c r="B2378">
        <v>51466.5</v>
      </c>
    </row>
    <row r="2379" spans="1:2" x14ac:dyDescent="0.25">
      <c r="A2379" t="s">
        <v>2550</v>
      </c>
      <c r="B2379">
        <v>1.0317000000000001</v>
      </c>
    </row>
    <row r="2380" spans="1:2" x14ac:dyDescent="0.25">
      <c r="A2380" t="s">
        <v>2551</v>
      </c>
      <c r="B2380">
        <v>2700</v>
      </c>
    </row>
    <row r="2381" spans="1:2" x14ac:dyDescent="0.25">
      <c r="A2381" t="s">
        <v>2552</v>
      </c>
      <c r="B2381">
        <v>1.0831</v>
      </c>
    </row>
    <row r="2382" spans="1:2" x14ac:dyDescent="0.25">
      <c r="A2382" t="s">
        <v>2553</v>
      </c>
      <c r="B2382">
        <v>17.48</v>
      </c>
    </row>
    <row r="2383" spans="1:2" x14ac:dyDescent="0.25">
      <c r="A2383" t="s">
        <v>2554</v>
      </c>
      <c r="B2383">
        <v>0.1404</v>
      </c>
    </row>
    <row r="2384" spans="1:2" x14ac:dyDescent="0.25">
      <c r="A2384" t="s">
        <v>2555</v>
      </c>
      <c r="B2384">
        <v>3.901E-3</v>
      </c>
    </row>
    <row r="2385" spans="1:2" x14ac:dyDescent="0.25">
      <c r="A2385" t="s">
        <v>2556</v>
      </c>
      <c r="B2385">
        <v>50.51</v>
      </c>
    </row>
    <row r="2386" spans="1:2" x14ac:dyDescent="0.25">
      <c r="A2386" t="s">
        <v>2559</v>
      </c>
      <c r="B2386">
        <v>3.452</v>
      </c>
    </row>
    <row r="2387" spans="1:2" x14ac:dyDescent="0.25">
      <c r="A2387" t="s">
        <v>2560</v>
      </c>
      <c r="B2387">
        <v>3.4489999999999998</v>
      </c>
    </row>
    <row r="2388" spans="1:2" x14ac:dyDescent="0.25">
      <c r="A2388" t="s">
        <v>2561</v>
      </c>
      <c r="B2388">
        <v>122.2</v>
      </c>
    </row>
    <row r="2389" spans="1:2" x14ac:dyDescent="0.25">
      <c r="A2389" t="s">
        <v>2562</v>
      </c>
      <c r="B2389">
        <v>1.8359999999999999E-4</v>
      </c>
    </row>
    <row r="2390" spans="1:2" x14ac:dyDescent="0.25">
      <c r="A2390" t="s">
        <v>2563</v>
      </c>
      <c r="B2390">
        <v>1.8349999999999999E-4</v>
      </c>
    </row>
    <row r="2391" spans="1:2" x14ac:dyDescent="0.25">
      <c r="A2391" t="s">
        <v>2564</v>
      </c>
      <c r="B2391">
        <v>6.4869999999999997E-3</v>
      </c>
    </row>
    <row r="2392" spans="1:2" x14ac:dyDescent="0.25">
      <c r="A2392" t="s">
        <v>2565</v>
      </c>
      <c r="B2392">
        <v>2.1469999999999999E-5</v>
      </c>
    </row>
    <row r="2393" spans="1:2" x14ac:dyDescent="0.25">
      <c r="A2393" t="s">
        <v>2566</v>
      </c>
      <c r="B2393">
        <v>0.55410000000000004</v>
      </c>
    </row>
    <row r="2394" spans="1:2" x14ac:dyDescent="0.25">
      <c r="A2394" t="s">
        <v>2567</v>
      </c>
      <c r="B2394">
        <v>5.7599999999999999E-6</v>
      </c>
    </row>
    <row r="2395" spans="1:2" x14ac:dyDescent="0.25">
      <c r="A2395" t="s">
        <v>2568</v>
      </c>
      <c r="B2395">
        <v>10.439</v>
      </c>
    </row>
    <row r="2396" spans="1:2" x14ac:dyDescent="0.25">
      <c r="A2396" t="s">
        <v>2569</v>
      </c>
      <c r="B2396">
        <v>20.49</v>
      </c>
    </row>
    <row r="2397" spans="1:2" x14ac:dyDescent="0.25">
      <c r="A2397" t="s">
        <v>2570</v>
      </c>
      <c r="B2397">
        <v>9.0229999999999997</v>
      </c>
    </row>
    <row r="2398" spans="1:2" x14ac:dyDescent="0.25">
      <c r="A2398" t="s">
        <v>2571</v>
      </c>
      <c r="B2398">
        <v>3.188E-5</v>
      </c>
    </row>
    <row r="2399" spans="1:2" x14ac:dyDescent="0.25">
      <c r="A2399" t="s">
        <v>2572</v>
      </c>
      <c r="B2399">
        <v>3.1850000000000002E-5</v>
      </c>
    </row>
    <row r="2400" spans="1:2" x14ac:dyDescent="0.25">
      <c r="A2400" t="s">
        <v>2573</v>
      </c>
      <c r="B2400">
        <v>1.1272999999999999E-3</v>
      </c>
    </row>
    <row r="2401" spans="1:2" x14ac:dyDescent="0.25">
      <c r="A2401" t="s">
        <v>2574</v>
      </c>
      <c r="B2401">
        <v>2.0219999999999998</v>
      </c>
    </row>
    <row r="2402" spans="1:2" x14ac:dyDescent="0.25">
      <c r="A2402" t="s">
        <v>2575</v>
      </c>
      <c r="B2402">
        <v>2.1869999999999998</v>
      </c>
    </row>
    <row r="2403" spans="1:2" x14ac:dyDescent="0.25">
      <c r="A2403" t="s">
        <v>2576</v>
      </c>
      <c r="B2403">
        <v>8.94E-3</v>
      </c>
    </row>
    <row r="2404" spans="1:2" x14ac:dyDescent="0.25">
      <c r="A2404" t="s">
        <v>2577</v>
      </c>
      <c r="B2404">
        <v>2.1690000000000001E-5</v>
      </c>
    </row>
    <row r="2405" spans="1:2" x14ac:dyDescent="0.25">
      <c r="A2405" t="s">
        <v>2578</v>
      </c>
      <c r="B2405">
        <v>77.27</v>
      </c>
    </row>
    <row r="2406" spans="1:2" x14ac:dyDescent="0.25">
      <c r="A2406" t="s">
        <v>2579</v>
      </c>
      <c r="B2406">
        <v>0.126</v>
      </c>
    </row>
    <row r="2407" spans="1:2" x14ac:dyDescent="0.25">
      <c r="A2407" t="s">
        <v>2580</v>
      </c>
      <c r="B2407">
        <v>4.08</v>
      </c>
    </row>
    <row r="2408" spans="1:2" x14ac:dyDescent="0.25">
      <c r="A2408" t="s">
        <v>2581</v>
      </c>
      <c r="B2408">
        <v>3.907</v>
      </c>
    </row>
    <row r="2409" spans="1:2" x14ac:dyDescent="0.25">
      <c r="A2409" t="s">
        <v>2582</v>
      </c>
      <c r="B2409">
        <v>3.05E-6</v>
      </c>
    </row>
    <row r="2410" spans="1:2" x14ac:dyDescent="0.25">
      <c r="A2410" t="s">
        <v>2583</v>
      </c>
      <c r="B2410">
        <v>0.28539999999999999</v>
      </c>
    </row>
    <row r="2411" spans="1:2" x14ac:dyDescent="0.25">
      <c r="A2411" t="s">
        <v>2584</v>
      </c>
      <c r="B2411">
        <v>5.62E-4</v>
      </c>
    </row>
    <row r="2412" spans="1:2" x14ac:dyDescent="0.25">
      <c r="A2412" t="s">
        <v>2585</v>
      </c>
      <c r="B2412">
        <v>0.28599999999999998</v>
      </c>
    </row>
    <row r="2413" spans="1:2" x14ac:dyDescent="0.25">
      <c r="A2413" t="s">
        <v>2586</v>
      </c>
      <c r="B2413">
        <v>0.39750000000000002</v>
      </c>
    </row>
    <row r="2414" spans="1:2" x14ac:dyDescent="0.25">
      <c r="A2414" t="s">
        <v>2587</v>
      </c>
      <c r="B2414">
        <v>10.09</v>
      </c>
    </row>
    <row r="2415" spans="1:2" x14ac:dyDescent="0.25">
      <c r="A2415" t="s">
        <v>2588</v>
      </c>
      <c r="B2415">
        <v>0.74519999999999997</v>
      </c>
    </row>
    <row r="2416" spans="1:2" x14ac:dyDescent="0.25">
      <c r="A2416" t="s">
        <v>2589</v>
      </c>
      <c r="B2416">
        <v>36.68</v>
      </c>
    </row>
    <row r="2417" spans="1:2" x14ac:dyDescent="0.25">
      <c r="A2417" t="s">
        <v>2590</v>
      </c>
      <c r="B2417">
        <v>6.8120000000000003</v>
      </c>
    </row>
    <row r="2418" spans="1:2" x14ac:dyDescent="0.25">
      <c r="A2418" t="s">
        <v>2591</v>
      </c>
      <c r="B2418">
        <v>20.440000000000001</v>
      </c>
    </row>
    <row r="2419" spans="1:2" x14ac:dyDescent="0.25">
      <c r="A2419" t="s">
        <v>2592</v>
      </c>
      <c r="B2419">
        <v>0.37909999999999999</v>
      </c>
    </row>
    <row r="2420" spans="1:2" x14ac:dyDescent="0.25">
      <c r="A2420" t="s">
        <v>2593</v>
      </c>
      <c r="B2420">
        <v>1.855</v>
      </c>
    </row>
    <row r="2421" spans="1:2" x14ac:dyDescent="0.25">
      <c r="A2421" t="s">
        <v>2594</v>
      </c>
      <c r="B2421">
        <v>27.3</v>
      </c>
    </row>
    <row r="2422" spans="1:2" x14ac:dyDescent="0.25">
      <c r="A2422" t="s">
        <v>2595</v>
      </c>
      <c r="B2422">
        <v>6.3899999999999998E-6</v>
      </c>
    </row>
    <row r="2423" spans="1:2" x14ac:dyDescent="0.25">
      <c r="A2423" t="s">
        <v>2596</v>
      </c>
      <c r="B2423">
        <v>0.59840000000000004</v>
      </c>
    </row>
    <row r="2424" spans="1:2" x14ac:dyDescent="0.25">
      <c r="A2424" t="s">
        <v>2597</v>
      </c>
      <c r="B2424">
        <v>8.5019999999999996E-4</v>
      </c>
    </row>
    <row r="2425" spans="1:2" x14ac:dyDescent="0.25">
      <c r="A2425" t="s">
        <v>2598</v>
      </c>
      <c r="B2425">
        <v>0.59889999999999999</v>
      </c>
    </row>
    <row r="2426" spans="1:2" x14ac:dyDescent="0.25">
      <c r="A2426" t="s">
        <v>2599</v>
      </c>
      <c r="B2426">
        <v>0.51400000000000001</v>
      </c>
    </row>
    <row r="2427" spans="1:2" x14ac:dyDescent="0.25">
      <c r="A2427" t="s">
        <v>2600</v>
      </c>
      <c r="B2427">
        <v>21.15</v>
      </c>
    </row>
    <row r="2428" spans="1:2" x14ac:dyDescent="0.25">
      <c r="A2428" t="s">
        <v>2601</v>
      </c>
      <c r="B2428">
        <v>10.282999999999999</v>
      </c>
    </row>
    <row r="2429" spans="1:2" x14ac:dyDescent="0.25">
      <c r="A2429" t="s">
        <v>2602</v>
      </c>
      <c r="B2429">
        <v>1.92</v>
      </c>
    </row>
    <row r="2430" spans="1:2" x14ac:dyDescent="0.25">
      <c r="A2430" t="s">
        <v>2603</v>
      </c>
      <c r="B2430">
        <v>453</v>
      </c>
    </row>
    <row r="2431" spans="1:2" x14ac:dyDescent="0.25">
      <c r="A2431" t="s">
        <v>2604</v>
      </c>
      <c r="B2431">
        <v>2.5000000000000002E-6</v>
      </c>
    </row>
    <row r="2432" spans="1:2" x14ac:dyDescent="0.25">
      <c r="A2432" t="s">
        <v>2605</v>
      </c>
      <c r="B2432">
        <v>0.23419999999999999</v>
      </c>
    </row>
    <row r="2433" spans="1:2" x14ac:dyDescent="0.25">
      <c r="A2433" t="s">
        <v>2606</v>
      </c>
      <c r="B2433">
        <v>1.0380000000000001E-3</v>
      </c>
    </row>
    <row r="2434" spans="1:2" x14ac:dyDescent="0.25">
      <c r="A2434" t="s">
        <v>2607</v>
      </c>
      <c r="B2434">
        <v>0.2359</v>
      </c>
    </row>
    <row r="2435" spans="1:2" x14ac:dyDescent="0.25">
      <c r="A2435" t="s">
        <v>2608</v>
      </c>
      <c r="B2435">
        <v>0.89859999999999995</v>
      </c>
    </row>
    <row r="2436" spans="1:2" x14ac:dyDescent="0.25">
      <c r="A2436" t="s">
        <v>2609</v>
      </c>
      <c r="B2436">
        <v>8.27</v>
      </c>
    </row>
    <row r="2437" spans="1:2" x14ac:dyDescent="0.25">
      <c r="A2437" t="s">
        <v>2610</v>
      </c>
      <c r="B2437">
        <v>1.77</v>
      </c>
    </row>
    <row r="2438" spans="1:2" x14ac:dyDescent="0.25">
      <c r="A2438" t="s">
        <v>2611</v>
      </c>
      <c r="B2438">
        <v>1.5429999999999999</v>
      </c>
    </row>
    <row r="2439" spans="1:2" x14ac:dyDescent="0.25">
      <c r="A2439" t="s">
        <v>2612</v>
      </c>
      <c r="B2439">
        <v>4.8710000000000004</v>
      </c>
    </row>
    <row r="2440" spans="1:2" x14ac:dyDescent="0.25">
      <c r="A2440" t="s">
        <v>2613</v>
      </c>
      <c r="B2440">
        <v>8.9900000000000003E-6</v>
      </c>
    </row>
    <row r="2441" spans="1:2" x14ac:dyDescent="0.25">
      <c r="A2441" t="s">
        <v>2614</v>
      </c>
      <c r="B2441">
        <v>0.84499999999999997</v>
      </c>
    </row>
    <row r="2442" spans="1:2" x14ac:dyDescent="0.25">
      <c r="A2442" t="s">
        <v>2615</v>
      </c>
      <c r="B2442">
        <v>1.57E-3</v>
      </c>
    </row>
    <row r="2443" spans="1:2" x14ac:dyDescent="0.25">
      <c r="A2443" t="s">
        <v>2616</v>
      </c>
      <c r="B2443">
        <v>0.84399999999999997</v>
      </c>
    </row>
    <row r="2444" spans="1:2" x14ac:dyDescent="0.25">
      <c r="A2444" t="s">
        <v>2617</v>
      </c>
      <c r="B2444">
        <v>29.87</v>
      </c>
    </row>
    <row r="2445" spans="1:2" x14ac:dyDescent="0.25">
      <c r="A2445" t="s">
        <v>2618</v>
      </c>
      <c r="B2445">
        <v>34.159999999999997</v>
      </c>
    </row>
    <row r="2446" spans="1:2" x14ac:dyDescent="0.25">
      <c r="A2446" t="s">
        <v>2619</v>
      </c>
      <c r="B2446">
        <v>25.74</v>
      </c>
    </row>
    <row r="2447" spans="1:2" x14ac:dyDescent="0.25">
      <c r="A2447" t="s">
        <v>2620</v>
      </c>
      <c r="B2447">
        <v>4.2931999999999997</v>
      </c>
    </row>
    <row r="2448" spans="1:2" x14ac:dyDescent="0.25">
      <c r="A2448" t="s">
        <v>2621</v>
      </c>
      <c r="B2448">
        <v>4.87</v>
      </c>
    </row>
    <row r="2449" spans="1:2" x14ac:dyDescent="0.25">
      <c r="A2449" t="s">
        <v>2622</v>
      </c>
      <c r="B2449">
        <v>8.5599999999999996E-2</v>
      </c>
    </row>
    <row r="2450" spans="1:2" x14ac:dyDescent="0.25">
      <c r="A2450" t="s">
        <v>2623</v>
      </c>
      <c r="B2450">
        <v>0.84499999999999997</v>
      </c>
    </row>
    <row r="2451" spans="1:2" x14ac:dyDescent="0.25">
      <c r="A2451" t="s">
        <v>2624</v>
      </c>
      <c r="B2451">
        <v>1.22E-6</v>
      </c>
    </row>
    <row r="2452" spans="1:2" x14ac:dyDescent="0.25">
      <c r="A2452" t="s">
        <v>2625</v>
      </c>
      <c r="B2452">
        <v>0.11482000000000001</v>
      </c>
    </row>
    <row r="2453" spans="1:2" x14ac:dyDescent="0.25">
      <c r="A2453" t="s">
        <v>2626</v>
      </c>
      <c r="B2453">
        <v>1.627E-4</v>
      </c>
    </row>
    <row r="2454" spans="1:2" x14ac:dyDescent="0.25">
      <c r="A2454" t="s">
        <v>2627</v>
      </c>
      <c r="B2454">
        <v>0.11487</v>
      </c>
    </row>
    <row r="2455" spans="1:2" x14ac:dyDescent="0.25">
      <c r="A2455" t="s">
        <v>2628</v>
      </c>
      <c r="B2455">
        <v>4.0599999999999996</v>
      </c>
    </row>
    <row r="2456" spans="1:2" x14ac:dyDescent="0.25">
      <c r="A2456" t="s">
        <v>2629</v>
      </c>
      <c r="B2456">
        <v>9.08</v>
      </c>
    </row>
    <row r="2457" spans="1:2" x14ac:dyDescent="0.25">
      <c r="A2457" t="s">
        <v>2630</v>
      </c>
      <c r="B2457">
        <v>0.25469999999999998</v>
      </c>
    </row>
    <row r="2458" spans="1:2" x14ac:dyDescent="0.25">
      <c r="A2458" t="s">
        <v>2631</v>
      </c>
      <c r="B2458">
        <v>0.82189999999999996</v>
      </c>
    </row>
    <row r="2459" spans="1:2" x14ac:dyDescent="0.25">
      <c r="A2459" t="s">
        <v>2632</v>
      </c>
      <c r="B2459">
        <v>0.82609999999999995</v>
      </c>
    </row>
    <row r="2460" spans="1:2" x14ac:dyDescent="0.25">
      <c r="A2460" t="s">
        <v>2633</v>
      </c>
      <c r="B2460">
        <v>29.12</v>
      </c>
    </row>
    <row r="2461" spans="1:2" x14ac:dyDescent="0.25">
      <c r="A2461" t="s">
        <v>2634</v>
      </c>
      <c r="B2461">
        <v>0.11533</v>
      </c>
    </row>
    <row r="2462" spans="1:2" x14ac:dyDescent="0.25">
      <c r="A2462" t="s">
        <v>2635</v>
      </c>
      <c r="B2462">
        <v>0.90500000000000003</v>
      </c>
    </row>
    <row r="2463" spans="1:2" x14ac:dyDescent="0.25">
      <c r="A2463" t="s">
        <v>2636</v>
      </c>
      <c r="B2463">
        <v>0.41470000000000001</v>
      </c>
    </row>
    <row r="2464" spans="1:2" x14ac:dyDescent="0.25">
      <c r="A2464" t="s">
        <v>2637</v>
      </c>
      <c r="B2464">
        <v>3.9600000000000002E-6</v>
      </c>
    </row>
    <row r="2465" spans="1:2" x14ac:dyDescent="0.25">
      <c r="A2465" t="s">
        <v>2638</v>
      </c>
      <c r="B2465">
        <v>0.37419999999999998</v>
      </c>
    </row>
    <row r="2466" spans="1:2" x14ac:dyDescent="0.25">
      <c r="A2466" t="s">
        <v>2639</v>
      </c>
      <c r="B2466">
        <v>0.3745</v>
      </c>
    </row>
    <row r="2467" spans="1:2" x14ac:dyDescent="0.25">
      <c r="A2467" t="s">
        <v>2640</v>
      </c>
      <c r="B2467">
        <v>13.28</v>
      </c>
    </row>
    <row r="2468" spans="1:2" x14ac:dyDescent="0.25">
      <c r="A2468" t="s">
        <v>2641</v>
      </c>
      <c r="B2468">
        <v>2.0049999999999999E-5</v>
      </c>
    </row>
    <row r="2469" spans="1:2" x14ac:dyDescent="0.25">
      <c r="A2469" t="s">
        <v>2642</v>
      </c>
      <c r="B2469">
        <v>1.8839999999999999</v>
      </c>
    </row>
    <row r="2470" spans="1:2" x14ac:dyDescent="0.25">
      <c r="A2470" t="s">
        <v>2643</v>
      </c>
      <c r="B2470">
        <v>1.883</v>
      </c>
    </row>
    <row r="2471" spans="1:2" x14ac:dyDescent="0.25">
      <c r="A2471" t="s">
        <v>2644</v>
      </c>
      <c r="B2471">
        <v>66.64</v>
      </c>
    </row>
    <row r="2472" spans="1:2" x14ac:dyDescent="0.25">
      <c r="A2472" t="s">
        <v>2645</v>
      </c>
      <c r="B2472">
        <v>1.452E-5</v>
      </c>
    </row>
    <row r="2473" spans="1:2" x14ac:dyDescent="0.25">
      <c r="A2473" t="s">
        <v>2646</v>
      </c>
      <c r="B2473">
        <v>1.39</v>
      </c>
    </row>
    <row r="2474" spans="1:2" x14ac:dyDescent="0.25">
      <c r="A2474" t="s">
        <v>2647</v>
      </c>
      <c r="B2474">
        <v>1.34</v>
      </c>
    </row>
    <row r="2475" spans="1:2" x14ac:dyDescent="0.25">
      <c r="A2475" t="s">
        <v>2648</v>
      </c>
      <c r="B2475">
        <v>49.24</v>
      </c>
    </row>
    <row r="2476" spans="1:2" x14ac:dyDescent="0.25">
      <c r="A2476" t="s">
        <v>2649</v>
      </c>
      <c r="B2476">
        <v>0.82120000000000004</v>
      </c>
    </row>
    <row r="2477" spans="1:2" x14ac:dyDescent="0.25">
      <c r="A2477" t="s">
        <v>2650</v>
      </c>
      <c r="B2477">
        <v>5.1689999999999996</v>
      </c>
    </row>
    <row r="2478" spans="1:2" x14ac:dyDescent="0.25">
      <c r="A2478" t="s">
        <v>2653</v>
      </c>
      <c r="B2478">
        <v>1.7099999999999999E-6</v>
      </c>
    </row>
    <row r="2479" spans="1:2" x14ac:dyDescent="0.25">
      <c r="A2479" t="s">
        <v>2654</v>
      </c>
      <c r="B2479">
        <v>2.2800000000000001E-4</v>
      </c>
    </row>
    <row r="2480" spans="1:2" x14ac:dyDescent="0.25">
      <c r="A2480" t="s">
        <v>2655</v>
      </c>
      <c r="B2480">
        <v>0.16039999999999999</v>
      </c>
    </row>
    <row r="2481" spans="1:2" x14ac:dyDescent="0.25">
      <c r="A2481" t="s">
        <v>2656</v>
      </c>
      <c r="B2481">
        <v>0.15529999999999999</v>
      </c>
    </row>
    <row r="2482" spans="1:2" x14ac:dyDescent="0.25">
      <c r="A2482" t="s">
        <v>2657</v>
      </c>
      <c r="B2482">
        <v>5.6660000000000004</v>
      </c>
    </row>
    <row r="2483" spans="1:2" x14ac:dyDescent="0.25">
      <c r="A2483" t="s">
        <v>2658</v>
      </c>
      <c r="B2483">
        <v>5.1000000000000003E-6</v>
      </c>
    </row>
    <row r="2484" spans="1:2" x14ac:dyDescent="0.25">
      <c r="A2484" t="s">
        <v>2659</v>
      </c>
      <c r="B2484">
        <v>0.47839999999999999</v>
      </c>
    </row>
    <row r="2485" spans="1:2" x14ac:dyDescent="0.25">
      <c r="A2485" t="s">
        <v>2660</v>
      </c>
      <c r="B2485">
        <v>0.47799999999999998</v>
      </c>
    </row>
    <row r="2486" spans="1:2" x14ac:dyDescent="0.25">
      <c r="A2486" t="s">
        <v>2661</v>
      </c>
      <c r="B2486">
        <v>16.920000000000002</v>
      </c>
    </row>
    <row r="2487" spans="1:2" x14ac:dyDescent="0.25">
      <c r="A2487" t="s">
        <v>2662</v>
      </c>
      <c r="B2487">
        <v>5.0069999999999997</v>
      </c>
    </row>
    <row r="2488" spans="1:2" x14ac:dyDescent="0.25">
      <c r="A2488" t="s">
        <v>2663</v>
      </c>
      <c r="B2488">
        <v>9.9390000000000001</v>
      </c>
    </row>
    <row r="2489" spans="1:2" x14ac:dyDescent="0.25">
      <c r="A2489" t="s">
        <v>2664</v>
      </c>
      <c r="B2489">
        <v>183.6</v>
      </c>
    </row>
    <row r="2490" spans="1:2" x14ac:dyDescent="0.25">
      <c r="A2490" t="s">
        <v>2665</v>
      </c>
      <c r="B2490">
        <v>2.1110000000000002</v>
      </c>
    </row>
    <row r="2491" spans="1:2" x14ac:dyDescent="0.25">
      <c r="A2491" t="s">
        <v>2666</v>
      </c>
      <c r="B2491">
        <v>0.41249999999999998</v>
      </c>
    </row>
    <row r="2492" spans="1:2" x14ac:dyDescent="0.25">
      <c r="A2492" t="s">
        <v>2667</v>
      </c>
      <c r="B2492">
        <v>4.3419999999999996</v>
      </c>
    </row>
    <row r="2493" spans="1:2" x14ac:dyDescent="0.25">
      <c r="A2493" t="s">
        <v>2668</v>
      </c>
      <c r="B2493">
        <v>68</v>
      </c>
    </row>
    <row r="2494" spans="1:2" x14ac:dyDescent="0.25">
      <c r="A2494" t="s">
        <v>2669</v>
      </c>
      <c r="B2494">
        <v>13.481</v>
      </c>
    </row>
    <row r="2495" spans="1:2" x14ac:dyDescent="0.25">
      <c r="A2495" t="s">
        <v>2670</v>
      </c>
      <c r="B2495">
        <v>3.3900000000000002E-6</v>
      </c>
    </row>
    <row r="2496" spans="1:2" x14ac:dyDescent="0.25">
      <c r="A2496" t="s">
        <v>2671</v>
      </c>
      <c r="B2496">
        <v>0.31879999999999997</v>
      </c>
    </row>
    <row r="2497" spans="1:2" x14ac:dyDescent="0.25">
      <c r="A2497" t="s">
        <v>2672</v>
      </c>
      <c r="B2497">
        <v>4.5019999999999999E-4</v>
      </c>
    </row>
    <row r="2498" spans="1:2" x14ac:dyDescent="0.25">
      <c r="A2498" t="s">
        <v>2673</v>
      </c>
      <c r="B2498">
        <v>0.31819999999999998</v>
      </c>
    </row>
    <row r="2499" spans="1:2" x14ac:dyDescent="0.25">
      <c r="A2499" t="s">
        <v>2674</v>
      </c>
      <c r="B2499">
        <v>11.281000000000001</v>
      </c>
    </row>
    <row r="2500" spans="1:2" x14ac:dyDescent="0.25">
      <c r="A2500" t="s">
        <v>2677</v>
      </c>
      <c r="B2500">
        <v>7.8999999999999995E-7</v>
      </c>
    </row>
    <row r="2501" spans="1:2" x14ac:dyDescent="0.25">
      <c r="A2501" t="s">
        <v>2678</v>
      </c>
      <c r="B2501">
        <v>4.6109999999999998E-2</v>
      </c>
    </row>
    <row r="2502" spans="1:2" x14ac:dyDescent="0.25">
      <c r="A2502" t="s">
        <v>2679</v>
      </c>
      <c r="B2502">
        <v>7.4399999999999999E-6</v>
      </c>
    </row>
    <row r="2503" spans="1:2" x14ac:dyDescent="0.25">
      <c r="A2503" t="s">
        <v>2680</v>
      </c>
      <c r="B2503">
        <v>0.69740000000000002</v>
      </c>
    </row>
    <row r="2504" spans="1:2" x14ac:dyDescent="0.25">
      <c r="A2504" t="s">
        <v>2681</v>
      </c>
      <c r="B2504">
        <v>0.70050000000000001</v>
      </c>
    </row>
    <row r="2505" spans="1:2" x14ac:dyDescent="0.25">
      <c r="A2505" t="s">
        <v>2682</v>
      </c>
      <c r="B2505">
        <v>24.7</v>
      </c>
    </row>
    <row r="2506" spans="1:2" x14ac:dyDescent="0.25">
      <c r="A2506" t="s">
        <v>2683</v>
      </c>
      <c r="B2506">
        <v>1.838E-5</v>
      </c>
    </row>
    <row r="2507" spans="1:2" x14ac:dyDescent="0.25">
      <c r="A2507" t="s">
        <v>2684</v>
      </c>
      <c r="B2507">
        <v>0.16039999999999999</v>
      </c>
    </row>
    <row r="2508" spans="1:2" x14ac:dyDescent="0.25">
      <c r="A2508" t="s">
        <v>2685</v>
      </c>
      <c r="B2508">
        <v>0.47789999999999999</v>
      </c>
    </row>
    <row r="2509" spans="1:2" x14ac:dyDescent="0.25">
      <c r="A2509" t="s">
        <v>2686</v>
      </c>
      <c r="B2509">
        <v>13.523999999999999</v>
      </c>
    </row>
    <row r="2510" spans="1:2" x14ac:dyDescent="0.25">
      <c r="A2510" t="s">
        <v>2687</v>
      </c>
      <c r="B2510">
        <v>124.33</v>
      </c>
    </row>
    <row r="2511" spans="1:2" x14ac:dyDescent="0.25">
      <c r="A2511" t="s">
        <v>2688</v>
      </c>
      <c r="B2511">
        <v>83.58</v>
      </c>
    </row>
    <row r="2512" spans="1:2" x14ac:dyDescent="0.25">
      <c r="A2512" t="s">
        <v>2689</v>
      </c>
      <c r="B2512">
        <v>2.0279999999999999E-5</v>
      </c>
    </row>
    <row r="2513" spans="1:2" x14ac:dyDescent="0.25">
      <c r="A2513" t="s">
        <v>2690</v>
      </c>
      <c r="B2513">
        <v>1.9039999999999999</v>
      </c>
    </row>
    <row r="2514" spans="1:2" x14ac:dyDescent="0.25">
      <c r="A2514" t="s">
        <v>2691</v>
      </c>
      <c r="B2514">
        <v>1.9019999999999999</v>
      </c>
    </row>
    <row r="2515" spans="1:2" x14ac:dyDescent="0.25">
      <c r="A2515" t="s">
        <v>2692</v>
      </c>
      <c r="B2515">
        <v>67.260000000000005</v>
      </c>
    </row>
    <row r="2516" spans="1:2" x14ac:dyDescent="0.25">
      <c r="A2516" t="s">
        <v>2693</v>
      </c>
      <c r="B2516">
        <v>0.61880000000000002</v>
      </c>
    </row>
    <row r="2517" spans="1:2" x14ac:dyDescent="0.25">
      <c r="A2517" t="s">
        <v>2694</v>
      </c>
      <c r="B2517">
        <v>1.8369999999999999E-5</v>
      </c>
    </row>
    <row r="2518" spans="1:2" x14ac:dyDescent="0.25">
      <c r="A2518" t="s">
        <v>2695</v>
      </c>
      <c r="B2518">
        <v>2.1469999999999999E-5</v>
      </c>
    </row>
    <row r="2519" spans="1:2" x14ac:dyDescent="0.25">
      <c r="A2519" t="s">
        <v>2696</v>
      </c>
      <c r="B2519">
        <v>2.3719999999999999</v>
      </c>
    </row>
    <row r="2520" spans="1:2" x14ac:dyDescent="0.25">
      <c r="A2520" t="s">
        <v>2697</v>
      </c>
      <c r="B2520">
        <v>599.5</v>
      </c>
    </row>
    <row r="2521" spans="1:2" x14ac:dyDescent="0.25">
      <c r="A2521" t="s">
        <v>2698</v>
      </c>
      <c r="B2521">
        <v>5.3899999999999998E-4</v>
      </c>
    </row>
    <row r="2522" spans="1:2" x14ac:dyDescent="0.25">
      <c r="A2522" t="s">
        <v>2699</v>
      </c>
      <c r="B2522">
        <v>44.2</v>
      </c>
    </row>
    <row r="2523" spans="1:2" x14ac:dyDescent="0.25">
      <c r="A2523" t="s">
        <v>2700</v>
      </c>
      <c r="B2523">
        <v>49.49</v>
      </c>
    </row>
    <row r="2524" spans="1:2" x14ac:dyDescent="0.25">
      <c r="A2524" t="s">
        <v>2701</v>
      </c>
      <c r="B2524">
        <v>1562</v>
      </c>
    </row>
    <row r="2525" spans="1:2" x14ac:dyDescent="0.25">
      <c r="A2525" t="s">
        <v>2702</v>
      </c>
      <c r="B2525">
        <v>110957</v>
      </c>
    </row>
    <row r="2526" spans="1:2" x14ac:dyDescent="0.25">
      <c r="A2526" t="s">
        <v>2703</v>
      </c>
      <c r="B2526">
        <v>14734748</v>
      </c>
    </row>
    <row r="2527" spans="1:2" x14ac:dyDescent="0.25">
      <c r="A2527" t="s">
        <v>2704</v>
      </c>
      <c r="B2527">
        <v>531971</v>
      </c>
    </row>
    <row r="2528" spans="1:2" x14ac:dyDescent="0.25">
      <c r="A2528" t="s">
        <v>2705</v>
      </c>
      <c r="B2528">
        <v>1.7760000000000001E-4</v>
      </c>
    </row>
    <row r="2529" spans="1:2" x14ac:dyDescent="0.25">
      <c r="A2529" t="s">
        <v>2706</v>
      </c>
      <c r="B2529">
        <v>0.2082</v>
      </c>
    </row>
    <row r="2530" spans="1:2" x14ac:dyDescent="0.25">
      <c r="A2530" t="s">
        <v>2707</v>
      </c>
      <c r="B2530">
        <v>5.12</v>
      </c>
    </row>
    <row r="2531" spans="1:2" x14ac:dyDescent="0.25">
      <c r="A2531" t="s">
        <v>2708</v>
      </c>
      <c r="B2531">
        <v>71.89</v>
      </c>
    </row>
    <row r="2532" spans="1:2" x14ac:dyDescent="0.25">
      <c r="A2532" t="s">
        <v>2709</v>
      </c>
      <c r="B2532">
        <v>3.9600000000000002E-6</v>
      </c>
    </row>
    <row r="2533" spans="1:2" x14ac:dyDescent="0.25">
      <c r="A2533" t="s">
        <v>2710</v>
      </c>
      <c r="B2533">
        <v>0.37190000000000001</v>
      </c>
    </row>
    <row r="2534" spans="1:2" x14ac:dyDescent="0.25">
      <c r="A2534" t="s">
        <v>2711</v>
      </c>
      <c r="B2534">
        <v>7.7700000000000002E-4</v>
      </c>
    </row>
    <row r="2535" spans="1:2" x14ac:dyDescent="0.25">
      <c r="A2535" t="s">
        <v>2712</v>
      </c>
      <c r="B2535">
        <v>0.37169999999999997</v>
      </c>
    </row>
    <row r="2536" spans="1:2" x14ac:dyDescent="0.25">
      <c r="A2536" t="s">
        <v>2713</v>
      </c>
      <c r="B2536">
        <v>13.16</v>
      </c>
    </row>
    <row r="2537" spans="1:2" x14ac:dyDescent="0.25">
      <c r="A2537" t="s">
        <v>2714</v>
      </c>
      <c r="B2537">
        <v>1.3129999999999999</v>
      </c>
    </row>
    <row r="2538" spans="1:2" x14ac:dyDescent="0.25">
      <c r="A2538" t="s">
        <v>2715</v>
      </c>
      <c r="B2538">
        <v>38.57</v>
      </c>
    </row>
    <row r="2539" spans="1:2" x14ac:dyDescent="0.25">
      <c r="A2539" t="s">
        <v>2716</v>
      </c>
      <c r="B2539">
        <v>1.0398000000000001</v>
      </c>
    </row>
    <row r="2540" spans="1:2" x14ac:dyDescent="0.25">
      <c r="A2540" t="s">
        <v>2717</v>
      </c>
      <c r="B2540">
        <v>0.22650000000000001</v>
      </c>
    </row>
    <row r="2541" spans="1:2" x14ac:dyDescent="0.25">
      <c r="A2541" t="s">
        <v>2718</v>
      </c>
      <c r="B2541">
        <v>5.9999999999999995E-8</v>
      </c>
    </row>
    <row r="2542" spans="1:2" x14ac:dyDescent="0.25">
      <c r="A2542" t="s">
        <v>2719</v>
      </c>
      <c r="B2542">
        <v>6.398E-3</v>
      </c>
    </row>
    <row r="2543" spans="1:2" x14ac:dyDescent="0.25">
      <c r="A2543" t="s">
        <v>2720</v>
      </c>
      <c r="B2543">
        <v>6.3899999999999998E-3</v>
      </c>
    </row>
    <row r="2544" spans="1:2" x14ac:dyDescent="0.25">
      <c r="A2544" t="s">
        <v>2721</v>
      </c>
      <c r="B2544">
        <v>2.2719999999999999E-5</v>
      </c>
    </row>
    <row r="2545" spans="1:2" x14ac:dyDescent="0.25">
      <c r="A2545" t="s">
        <v>2722</v>
      </c>
      <c r="B2545">
        <v>2.137</v>
      </c>
    </row>
    <row r="2546" spans="1:2" x14ac:dyDescent="0.25">
      <c r="A2546" t="s">
        <v>2723</v>
      </c>
      <c r="B2546">
        <v>2.5230000000000001E-3</v>
      </c>
    </row>
    <row r="2547" spans="1:2" x14ac:dyDescent="0.25">
      <c r="A2547" t="s">
        <v>2724</v>
      </c>
      <c r="B2547">
        <v>2.145</v>
      </c>
    </row>
    <row r="2548" spans="1:2" x14ac:dyDescent="0.25">
      <c r="A2548" t="s">
        <v>2725</v>
      </c>
      <c r="B2548">
        <v>75.510000000000005</v>
      </c>
    </row>
    <row r="2549" spans="1:2" x14ac:dyDescent="0.25">
      <c r="A2549" t="s">
        <v>2726</v>
      </c>
      <c r="B2549">
        <v>11664</v>
      </c>
    </row>
    <row r="2550" spans="1:2" x14ac:dyDescent="0.25">
      <c r="A2550" t="s">
        <v>2727</v>
      </c>
      <c r="B2550">
        <v>1.478</v>
      </c>
    </row>
    <row r="2551" spans="1:2" x14ac:dyDescent="0.25">
      <c r="A2551" t="s">
        <v>2728</v>
      </c>
      <c r="B2551">
        <v>33.4</v>
      </c>
    </row>
    <row r="2552" spans="1:2" x14ac:dyDescent="0.25">
      <c r="A2552" t="s">
        <v>2729</v>
      </c>
      <c r="B2552">
        <v>8.2100000000000009</v>
      </c>
    </row>
    <row r="2553" spans="1:2" x14ac:dyDescent="0.25">
      <c r="A2553" t="s">
        <v>2730</v>
      </c>
      <c r="B2553">
        <v>5.0380000000000003</v>
      </c>
    </row>
    <row r="2554" spans="1:2" x14ac:dyDescent="0.25">
      <c r="A2554" t="s">
        <v>2731</v>
      </c>
      <c r="B2554">
        <v>6.4749999999999996</v>
      </c>
    </row>
    <row r="2555" spans="1:2" x14ac:dyDescent="0.25">
      <c r="A2555" t="s">
        <v>2732</v>
      </c>
      <c r="B2555">
        <v>3.1850000000000002E-5</v>
      </c>
    </row>
    <row r="2556" spans="1:2" x14ac:dyDescent="0.25">
      <c r="A2556" t="s">
        <v>2733</v>
      </c>
      <c r="B2556">
        <v>1.7757E-4</v>
      </c>
    </row>
    <row r="2557" spans="1:2" x14ac:dyDescent="0.25">
      <c r="A2557" t="s">
        <v>2734</v>
      </c>
      <c r="B2557">
        <v>53801</v>
      </c>
    </row>
    <row r="2558" spans="1:2" x14ac:dyDescent="0.25">
      <c r="A2558" t="s">
        <v>2735</v>
      </c>
      <c r="B2558">
        <v>178.84</v>
      </c>
    </row>
    <row r="2559" spans="1:2" x14ac:dyDescent="0.25">
      <c r="A2559" t="s">
        <v>2736</v>
      </c>
      <c r="B2559">
        <v>39.58</v>
      </c>
    </row>
    <row r="2560" spans="1:2" x14ac:dyDescent="0.25">
      <c r="A2560" t="s">
        <v>2737</v>
      </c>
      <c r="B2560">
        <v>1.049E-5</v>
      </c>
    </row>
    <row r="2561" spans="1:2" x14ac:dyDescent="0.25">
      <c r="A2561" t="s">
        <v>2676</v>
      </c>
      <c r="B2561">
        <v>0.98499999999999999</v>
      </c>
    </row>
    <row r="2562" spans="1:2" x14ac:dyDescent="0.25">
      <c r="A2562" t="s">
        <v>2738</v>
      </c>
      <c r="B2562">
        <v>1.4051000000000001E-3</v>
      </c>
    </row>
    <row r="2563" spans="1:2" x14ac:dyDescent="0.25">
      <c r="A2563" t="s">
        <v>2739</v>
      </c>
      <c r="B2563">
        <v>0.98450000000000004</v>
      </c>
    </row>
    <row r="2564" spans="1:2" x14ac:dyDescent="0.25">
      <c r="A2564" t="s">
        <v>2740</v>
      </c>
      <c r="B2564">
        <v>34.814</v>
      </c>
    </row>
    <row r="2565" spans="1:2" x14ac:dyDescent="0.25">
      <c r="A2565" t="s">
        <v>2741</v>
      </c>
      <c r="B2565">
        <v>0.65100000000000002</v>
      </c>
    </row>
    <row r="2566" spans="1:2" x14ac:dyDescent="0.25">
      <c r="A2566" t="s">
        <v>2742</v>
      </c>
      <c r="B2566">
        <v>104.94</v>
      </c>
    </row>
    <row r="2567" spans="1:2" x14ac:dyDescent="0.25">
      <c r="A2567" t="s">
        <v>2743</v>
      </c>
      <c r="B2567">
        <v>5.1509999999999998</v>
      </c>
    </row>
    <row r="2568" spans="1:2" x14ac:dyDescent="0.25">
      <c r="A2568" t="s">
        <v>2744</v>
      </c>
      <c r="B2568">
        <v>2.129</v>
      </c>
    </row>
    <row r="2569" spans="1:2" x14ac:dyDescent="0.25">
      <c r="A2569" t="s">
        <v>2745</v>
      </c>
      <c r="B2569">
        <v>3.2200000000000001E-6</v>
      </c>
    </row>
    <row r="2570" spans="1:2" x14ac:dyDescent="0.25">
      <c r="A2570" t="s">
        <v>2746</v>
      </c>
      <c r="B2570">
        <v>0.30249999999999999</v>
      </c>
    </row>
    <row r="2571" spans="1:2" x14ac:dyDescent="0.25">
      <c r="A2571" t="s">
        <v>2747</v>
      </c>
      <c r="B2571">
        <v>0.30309999999999998</v>
      </c>
    </row>
    <row r="2572" spans="1:2" x14ac:dyDescent="0.25">
      <c r="A2572" t="s">
        <v>2748</v>
      </c>
      <c r="B2572">
        <v>10.683</v>
      </c>
    </row>
    <row r="2573" spans="1:2" x14ac:dyDescent="0.25">
      <c r="A2573" t="s">
        <v>2749</v>
      </c>
      <c r="B2573">
        <v>6.404E-3</v>
      </c>
    </row>
    <row r="2574" spans="1:2" x14ac:dyDescent="0.25">
      <c r="A2574" t="s">
        <v>2750</v>
      </c>
      <c r="B2574">
        <v>3.448</v>
      </c>
    </row>
    <row r="2575" spans="1:2" x14ac:dyDescent="0.25">
      <c r="A2575" t="s">
        <v>2751</v>
      </c>
      <c r="B2575">
        <v>1.901</v>
      </c>
    </row>
    <row r="2576" spans="1:2" x14ac:dyDescent="0.25">
      <c r="A2576" t="s">
        <v>2752</v>
      </c>
      <c r="B2576">
        <v>4.8500000000000002E-6</v>
      </c>
    </row>
    <row r="2577" spans="1:2" x14ac:dyDescent="0.25">
      <c r="A2577" t="s">
        <v>2753</v>
      </c>
      <c r="B2577">
        <v>0.4592</v>
      </c>
    </row>
    <row r="2578" spans="1:2" x14ac:dyDescent="0.25">
      <c r="A2578" t="s">
        <v>2754</v>
      </c>
      <c r="B2578">
        <v>0.45839999999999997</v>
      </c>
    </row>
    <row r="2579" spans="1:2" x14ac:dyDescent="0.25">
      <c r="A2579" t="s">
        <v>2755</v>
      </c>
      <c r="B2579">
        <v>16.239999999999998</v>
      </c>
    </row>
    <row r="2580" spans="1:2" x14ac:dyDescent="0.25">
      <c r="A2580" t="s">
        <v>2756</v>
      </c>
      <c r="B2580">
        <v>1.5400000000000002E-5</v>
      </c>
    </row>
    <row r="2581" spans="1:2" x14ac:dyDescent="0.25">
      <c r="A2581" t="s">
        <v>2757</v>
      </c>
      <c r="B2581">
        <v>1.4538</v>
      </c>
    </row>
    <row r="2582" spans="1:2" x14ac:dyDescent="0.25">
      <c r="A2582" t="s">
        <v>2758</v>
      </c>
      <c r="B2582">
        <v>2.0569999999999998E-3</v>
      </c>
    </row>
    <row r="2583" spans="1:2" x14ac:dyDescent="0.25">
      <c r="A2583" t="s">
        <v>2759</v>
      </c>
      <c r="B2583">
        <v>1.4587000000000001</v>
      </c>
    </row>
    <row r="2584" spans="1:2" x14ac:dyDescent="0.25">
      <c r="A2584" t="s">
        <v>2760</v>
      </c>
      <c r="B2584">
        <v>51.39</v>
      </c>
    </row>
    <row r="2585" spans="1:2" x14ac:dyDescent="0.25">
      <c r="A2585" t="s">
        <v>2761</v>
      </c>
      <c r="B2585">
        <v>20.66</v>
      </c>
    </row>
    <row r="2586" spans="1:2" x14ac:dyDescent="0.25">
      <c r="A2586" t="s">
        <v>2762</v>
      </c>
      <c r="B2586">
        <v>1.1606E-2</v>
      </c>
    </row>
    <row r="2587" spans="1:2" x14ac:dyDescent="0.25">
      <c r="A2587" t="s">
        <v>2763</v>
      </c>
      <c r="B2587">
        <v>0.98419999999999996</v>
      </c>
    </row>
    <row r="2588" spans="1:2" x14ac:dyDescent="0.25">
      <c r="A2588" t="s">
        <v>2764</v>
      </c>
      <c r="B2588">
        <v>2.1459999999999999</v>
      </c>
    </row>
    <row r="2589" spans="1:2" x14ac:dyDescent="0.25">
      <c r="A2589" t="s">
        <v>2765</v>
      </c>
      <c r="B2589">
        <v>0.503</v>
      </c>
    </row>
    <row r="2590" spans="1:2" x14ac:dyDescent="0.25">
      <c r="A2590" t="s">
        <v>2766</v>
      </c>
      <c r="B2590">
        <v>24.35</v>
      </c>
    </row>
    <row r="2591" spans="1:2" x14ac:dyDescent="0.25">
      <c r="A2591" t="s">
        <v>2767</v>
      </c>
      <c r="B2591">
        <v>4.9109999999999996E-3</v>
      </c>
    </row>
    <row r="2592" spans="1:2" x14ac:dyDescent="0.25">
      <c r="A2592" t="s">
        <v>2768</v>
      </c>
      <c r="B2592">
        <v>461.6</v>
      </c>
    </row>
    <row r="2593" spans="1:2" x14ac:dyDescent="0.25">
      <c r="A2593" t="s">
        <v>2769</v>
      </c>
      <c r="B2593">
        <v>461.3</v>
      </c>
    </row>
    <row r="2594" spans="1:2" x14ac:dyDescent="0.25">
      <c r="A2594" t="s">
        <v>2770</v>
      </c>
      <c r="B2594">
        <v>16333</v>
      </c>
    </row>
    <row r="2595" spans="1:2" x14ac:dyDescent="0.25">
      <c r="A2595" t="s">
        <v>2771</v>
      </c>
      <c r="B2595">
        <v>0.16059999999999999</v>
      </c>
    </row>
    <row r="2596" spans="1:2" x14ac:dyDescent="0.25">
      <c r="A2596" t="s">
        <v>2772</v>
      </c>
      <c r="B2596">
        <v>7.0410000000000004</v>
      </c>
    </row>
    <row r="2597" spans="1:2" x14ac:dyDescent="0.25">
      <c r="A2597" t="s">
        <v>2773</v>
      </c>
      <c r="B2597">
        <v>4.6239999999999997</v>
      </c>
    </row>
    <row r="2598" spans="1:2" x14ac:dyDescent="0.25">
      <c r="A2598" t="s">
        <v>2774</v>
      </c>
      <c r="B2598">
        <v>1.456</v>
      </c>
    </row>
    <row r="2599" spans="1:2" x14ac:dyDescent="0.25">
      <c r="A2599" t="s">
        <v>2775</v>
      </c>
      <c r="B2599">
        <v>9.69</v>
      </c>
    </row>
    <row r="2600" spans="1:2" x14ac:dyDescent="0.25">
      <c r="A2600" t="s">
        <v>2776</v>
      </c>
      <c r="B2600">
        <v>8.7200000000000005E-5</v>
      </c>
    </row>
    <row r="2601" spans="1:2" x14ac:dyDescent="0.25">
      <c r="A2601" t="s">
        <v>2777</v>
      </c>
      <c r="B2601">
        <v>8.23</v>
      </c>
    </row>
    <row r="2602" spans="1:2" x14ac:dyDescent="0.25">
      <c r="A2602" t="s">
        <v>2778</v>
      </c>
      <c r="B2602">
        <v>1.3610000000000001E-2</v>
      </c>
    </row>
    <row r="2603" spans="1:2" x14ac:dyDescent="0.25">
      <c r="A2603" t="s">
        <v>2779</v>
      </c>
      <c r="B2603">
        <v>8.25</v>
      </c>
    </row>
    <row r="2604" spans="1:2" x14ac:dyDescent="0.25">
      <c r="A2604" t="s">
        <v>2780</v>
      </c>
      <c r="B2604">
        <v>290.8</v>
      </c>
    </row>
    <row r="2605" spans="1:2" x14ac:dyDescent="0.25">
      <c r="A2605" t="s">
        <v>2781</v>
      </c>
      <c r="B2605">
        <v>9.0500000000000007</v>
      </c>
    </row>
    <row r="2606" spans="1:2" x14ac:dyDescent="0.25">
      <c r="A2606" t="s">
        <v>2782</v>
      </c>
      <c r="B2606">
        <v>3.5040000000000002E-2</v>
      </c>
    </row>
    <row r="2607" spans="1:2" x14ac:dyDescent="0.25">
      <c r="A2607" t="s">
        <v>2783</v>
      </c>
      <c r="B2607">
        <v>40.200000000000003</v>
      </c>
    </row>
    <row r="2608" spans="1:2" x14ac:dyDescent="0.25">
      <c r="A2608" t="s">
        <v>2784</v>
      </c>
      <c r="B2608">
        <v>1.53</v>
      </c>
    </row>
    <row r="2609" spans="1:2" x14ac:dyDescent="0.25">
      <c r="A2609" t="s">
        <v>2785</v>
      </c>
      <c r="B2609">
        <v>10.28</v>
      </c>
    </row>
    <row r="2610" spans="1:2" x14ac:dyDescent="0.25">
      <c r="A2610" t="s">
        <v>2786</v>
      </c>
      <c r="B2610">
        <v>8.2899999999999991</v>
      </c>
    </row>
    <row r="2611" spans="1:2" x14ac:dyDescent="0.25">
      <c r="A2611" t="s">
        <v>2787</v>
      </c>
      <c r="B2611">
        <v>1.1477E-4</v>
      </c>
    </row>
    <row r="2612" spans="1:2" x14ac:dyDescent="0.25">
      <c r="A2612" t="s">
        <v>2788</v>
      </c>
      <c r="B2612">
        <v>17.91</v>
      </c>
    </row>
    <row r="2613" spans="1:2" x14ac:dyDescent="0.25">
      <c r="A2613" t="s">
        <v>2789</v>
      </c>
      <c r="B2613">
        <v>135.53</v>
      </c>
    </row>
    <row r="2614" spans="1:2" x14ac:dyDescent="0.25">
      <c r="A2614" t="s">
        <v>2790</v>
      </c>
      <c r="B2614">
        <v>3.3709999999999999E-3</v>
      </c>
    </row>
    <row r="2615" spans="1:2" x14ac:dyDescent="0.25">
      <c r="A2615" t="s">
        <v>2791</v>
      </c>
      <c r="B2615">
        <v>30510</v>
      </c>
    </row>
    <row r="2616" spans="1:2" x14ac:dyDescent="0.25">
      <c r="A2616" t="s">
        <v>2792</v>
      </c>
      <c r="B2616">
        <v>327.64</v>
      </c>
    </row>
    <row r="2617" spans="1:2" x14ac:dyDescent="0.25">
      <c r="A2617" t="s">
        <v>2793</v>
      </c>
      <c r="B2617">
        <v>3.9000000000000002E-7</v>
      </c>
    </row>
    <row r="2618" spans="1:2" x14ac:dyDescent="0.25">
      <c r="A2618" t="s">
        <v>2794</v>
      </c>
      <c r="B2618">
        <v>3.6940000000000001E-2</v>
      </c>
    </row>
    <row r="2619" spans="1:2" x14ac:dyDescent="0.25">
      <c r="A2619" t="s">
        <v>2795</v>
      </c>
      <c r="B2619">
        <v>8.3100000000000001E-5</v>
      </c>
    </row>
    <row r="2620" spans="1:2" x14ac:dyDescent="0.25">
      <c r="A2620" t="s">
        <v>2796</v>
      </c>
      <c r="B2620">
        <v>3.4380000000000001E-2</v>
      </c>
    </row>
    <row r="2621" spans="1:2" x14ac:dyDescent="0.25">
      <c r="A2621" t="s">
        <v>2797</v>
      </c>
      <c r="B2621">
        <v>1.3069999999999999</v>
      </c>
    </row>
    <row r="2622" spans="1:2" x14ac:dyDescent="0.25">
      <c r="A2622" t="s">
        <v>2798</v>
      </c>
      <c r="B2622">
        <v>1238.8</v>
      </c>
    </row>
    <row r="2623" spans="1:2" x14ac:dyDescent="0.25">
      <c r="A2623" t="s">
        <v>2799</v>
      </c>
      <c r="B2623">
        <v>58.13</v>
      </c>
    </row>
    <row r="2624" spans="1:2" x14ac:dyDescent="0.25">
      <c r="A2624" t="s">
        <v>2800</v>
      </c>
      <c r="B2624">
        <v>0.48749999999999999</v>
      </c>
    </row>
    <row r="2625" spans="1:2" x14ac:dyDescent="0.25">
      <c r="A2625" t="s">
        <v>2801</v>
      </c>
      <c r="B2625">
        <v>4.5499999999999996E-6</v>
      </c>
    </row>
    <row r="2626" spans="1:2" x14ac:dyDescent="0.25">
      <c r="A2626" t="s">
        <v>2802</v>
      </c>
      <c r="B2626">
        <v>0.42680000000000001</v>
      </c>
    </row>
    <row r="2627" spans="1:2" x14ac:dyDescent="0.25">
      <c r="A2627" t="s">
        <v>2803</v>
      </c>
      <c r="B2627">
        <v>6.0400000000000004E-4</v>
      </c>
    </row>
    <row r="2628" spans="1:2" x14ac:dyDescent="0.25">
      <c r="A2628" t="s">
        <v>2804</v>
      </c>
      <c r="B2628">
        <v>0.4269</v>
      </c>
    </row>
    <row r="2629" spans="1:2" x14ac:dyDescent="0.25">
      <c r="A2629" t="s">
        <v>2805</v>
      </c>
      <c r="B2629">
        <v>15.134</v>
      </c>
    </row>
    <row r="2630" spans="1:2" x14ac:dyDescent="0.25">
      <c r="A2630" t="s">
        <v>2806</v>
      </c>
      <c r="B2630">
        <v>0.88300000000000001</v>
      </c>
    </row>
    <row r="2631" spans="1:2" x14ac:dyDescent="0.25">
      <c r="A2631" t="s">
        <v>2807</v>
      </c>
      <c r="B2631">
        <v>1.593</v>
      </c>
    </row>
    <row r="2632" spans="1:2" x14ac:dyDescent="0.25">
      <c r="A2632" t="s">
        <v>2808</v>
      </c>
      <c r="B2632">
        <v>64.739999999999995</v>
      </c>
    </row>
    <row r="2633" spans="1:2" x14ac:dyDescent="0.25">
      <c r="A2633" t="s">
        <v>2809</v>
      </c>
      <c r="B2633">
        <v>6.3460000000000001E-3</v>
      </c>
    </row>
    <row r="2634" spans="1:2" x14ac:dyDescent="0.25">
      <c r="A2634" t="s">
        <v>2810</v>
      </c>
      <c r="B2634">
        <v>1.3529999999999999E-5</v>
      </c>
    </row>
    <row r="2635" spans="1:2" x14ac:dyDescent="0.25">
      <c r="A2635" t="s">
        <v>2811</v>
      </c>
      <c r="B2635">
        <v>6.3410000000000003E-3</v>
      </c>
    </row>
    <row r="2636" spans="1:2" x14ac:dyDescent="0.25">
      <c r="A2636" t="s">
        <v>2812</v>
      </c>
      <c r="B2636">
        <v>0.22439999999999999</v>
      </c>
    </row>
    <row r="2637" spans="1:2" x14ac:dyDescent="0.25">
      <c r="A2637" t="s">
        <v>2813</v>
      </c>
      <c r="B2637">
        <v>1.4710000000000001</v>
      </c>
    </row>
    <row r="2638" spans="1:2" x14ac:dyDescent="0.25">
      <c r="A2638" t="s">
        <v>2814</v>
      </c>
      <c r="B2638">
        <v>16.97</v>
      </c>
    </row>
    <row r="2639" spans="1:2" x14ac:dyDescent="0.25">
      <c r="A2639" t="s">
        <v>2815</v>
      </c>
      <c r="B2639">
        <v>0.42849999999999999</v>
      </c>
    </row>
    <row r="2640" spans="1:2" x14ac:dyDescent="0.25">
      <c r="A2640" t="s">
        <v>2816</v>
      </c>
      <c r="B2640">
        <v>0.9446</v>
      </c>
    </row>
    <row r="2641" spans="1:2" x14ac:dyDescent="0.25">
      <c r="A2641" t="s">
        <v>2817</v>
      </c>
      <c r="B2641">
        <v>4.5010000000000001E-2</v>
      </c>
    </row>
    <row r="2642" spans="1:2" x14ac:dyDescent="0.25">
      <c r="A2642" t="s">
        <v>2818</v>
      </c>
      <c r="B2642">
        <v>16.940000000000001</v>
      </c>
    </row>
    <row r="2643" spans="1:2" x14ac:dyDescent="0.25">
      <c r="A2643" t="s">
        <v>2819</v>
      </c>
      <c r="B2643">
        <v>0.27700000000000002</v>
      </c>
    </row>
    <row r="2644" spans="1:2" x14ac:dyDescent="0.25">
      <c r="A2644" t="s">
        <v>2820</v>
      </c>
      <c r="B2644">
        <v>1.7710000000000002E-5</v>
      </c>
    </row>
    <row r="2645" spans="1:2" x14ac:dyDescent="0.25">
      <c r="A2645" t="s">
        <v>2821</v>
      </c>
      <c r="B2645">
        <v>3.6909999999999998E-2</v>
      </c>
    </row>
    <row r="2646" spans="1:2" x14ac:dyDescent="0.25">
      <c r="A2646" t="s">
        <v>2822</v>
      </c>
      <c r="B2646">
        <v>59.44</v>
      </c>
    </row>
    <row r="2647" spans="1:2" x14ac:dyDescent="0.25">
      <c r="A2647" t="s">
        <v>2823</v>
      </c>
      <c r="B2647">
        <v>35.380000000000003</v>
      </c>
    </row>
    <row r="2648" spans="1:2" x14ac:dyDescent="0.25">
      <c r="A2648" t="s">
        <v>2824</v>
      </c>
      <c r="B2648">
        <v>1941356</v>
      </c>
    </row>
    <row r="2649" spans="1:2" x14ac:dyDescent="0.25">
      <c r="A2649" t="s">
        <v>2825</v>
      </c>
      <c r="B2649">
        <v>43.101999999999997</v>
      </c>
    </row>
    <row r="2650" spans="1:2" x14ac:dyDescent="0.25">
      <c r="A2650" t="s">
        <v>2826</v>
      </c>
      <c r="B2650">
        <v>33.69</v>
      </c>
    </row>
    <row r="2651" spans="1:2" x14ac:dyDescent="0.25">
      <c r="A2651" t="s">
        <v>2827</v>
      </c>
      <c r="B2651">
        <v>1.923</v>
      </c>
    </row>
    <row r="2652" spans="1:2" x14ac:dyDescent="0.25">
      <c r="A2652" t="s">
        <v>2828</v>
      </c>
      <c r="B2652">
        <v>6.3499999999999997E-3</v>
      </c>
    </row>
    <row r="2653" spans="1:2" x14ac:dyDescent="0.25">
      <c r="A2653" t="s">
        <v>2829</v>
      </c>
      <c r="B2653">
        <v>31.89</v>
      </c>
    </row>
    <row r="2654" spans="1:2" x14ac:dyDescent="0.25">
      <c r="A2654" t="s">
        <v>2830</v>
      </c>
      <c r="B2654">
        <v>51.09</v>
      </c>
    </row>
    <row r="2655" spans="1:2" x14ac:dyDescent="0.25">
      <c r="A2655" t="s">
        <v>2831</v>
      </c>
      <c r="B2655">
        <v>4.5010000000000001E-2</v>
      </c>
    </row>
    <row r="2656" spans="1:2" x14ac:dyDescent="0.25">
      <c r="A2656" t="s">
        <v>2832</v>
      </c>
      <c r="B2656">
        <v>0.45839999999999997</v>
      </c>
    </row>
    <row r="2657" spans="1:2" x14ac:dyDescent="0.25">
      <c r="A2657" t="s">
        <v>2833</v>
      </c>
      <c r="B2657">
        <v>4338</v>
      </c>
    </row>
    <row r="2658" spans="1:2" x14ac:dyDescent="0.25">
      <c r="A2658" t="s">
        <v>2834</v>
      </c>
      <c r="B2658">
        <v>3.046E-5</v>
      </c>
    </row>
    <row r="2659" spans="1:2" x14ac:dyDescent="0.25">
      <c r="A2659" t="s">
        <v>2835</v>
      </c>
      <c r="B2659">
        <v>2.8570000000000002</v>
      </c>
    </row>
    <row r="2660" spans="1:2" x14ac:dyDescent="0.25">
      <c r="A2660" t="s">
        <v>2836</v>
      </c>
      <c r="B2660">
        <v>3.9919999999999999E-3</v>
      </c>
    </row>
    <row r="2661" spans="1:2" x14ac:dyDescent="0.25">
      <c r="A2661" t="s">
        <v>2837</v>
      </c>
      <c r="B2661">
        <v>2.8580000000000001</v>
      </c>
    </row>
    <row r="2662" spans="1:2" x14ac:dyDescent="0.25">
      <c r="A2662" t="s">
        <v>2838</v>
      </c>
      <c r="B2662">
        <v>101</v>
      </c>
    </row>
    <row r="2663" spans="1:2" x14ac:dyDescent="0.25">
      <c r="A2663" t="s">
        <v>2839</v>
      </c>
      <c r="B2663">
        <v>3.9539999999999999E-2</v>
      </c>
    </row>
    <row r="2664" spans="1:2" x14ac:dyDescent="0.25">
      <c r="A2664" t="s">
        <v>2840</v>
      </c>
      <c r="B2664">
        <v>3.2090000000000001</v>
      </c>
    </row>
    <row r="2665" spans="1:2" x14ac:dyDescent="0.25">
      <c r="A2665" t="s">
        <v>2841</v>
      </c>
      <c r="B2665">
        <v>1.8380000000000001</v>
      </c>
    </row>
    <row r="2666" spans="1:2" x14ac:dyDescent="0.25">
      <c r="A2666" t="s">
        <v>2842</v>
      </c>
      <c r="B2666">
        <v>2.0700000000000001E-6</v>
      </c>
    </row>
    <row r="2667" spans="1:2" x14ac:dyDescent="0.25">
      <c r="A2667" t="s">
        <v>2843</v>
      </c>
      <c r="B2667">
        <v>0.19420000000000001</v>
      </c>
    </row>
    <row r="2668" spans="1:2" x14ac:dyDescent="0.25">
      <c r="A2668" t="s">
        <v>2844</v>
      </c>
      <c r="B2668">
        <v>0.19409999999999999</v>
      </c>
    </row>
    <row r="2669" spans="1:2" x14ac:dyDescent="0.25">
      <c r="A2669" t="s">
        <v>2845</v>
      </c>
      <c r="B2669">
        <v>6.8620000000000001</v>
      </c>
    </row>
    <row r="2670" spans="1:2" x14ac:dyDescent="0.25">
      <c r="A2670" t="s">
        <v>2846</v>
      </c>
      <c r="B2670">
        <v>0.42399999999999999</v>
      </c>
    </row>
    <row r="2671" spans="1:2" x14ac:dyDescent="0.25">
      <c r="A2671" t="s">
        <v>2847</v>
      </c>
      <c r="B2671">
        <v>6.0389999999999999E-4</v>
      </c>
    </row>
    <row r="2672" spans="1:2" x14ac:dyDescent="0.25">
      <c r="A2672" t="s">
        <v>2848</v>
      </c>
      <c r="B2672">
        <v>0.42659999999999998</v>
      </c>
    </row>
    <row r="2673" spans="1:2" x14ac:dyDescent="0.25">
      <c r="A2673" t="s">
        <v>2849</v>
      </c>
      <c r="B2673">
        <v>15</v>
      </c>
    </row>
    <row r="2674" spans="1:2" x14ac:dyDescent="0.25">
      <c r="A2674" t="s">
        <v>2850</v>
      </c>
      <c r="B2674">
        <v>5.5890000000000002E-5</v>
      </c>
    </row>
    <row r="2675" spans="1:2" x14ac:dyDescent="0.25">
      <c r="A2675" t="s">
        <v>2851</v>
      </c>
      <c r="B2675">
        <v>5.25</v>
      </c>
    </row>
    <row r="2676" spans="1:2" x14ac:dyDescent="0.25">
      <c r="A2676" t="s">
        <v>2852</v>
      </c>
      <c r="B2676">
        <v>5.2489999999999997</v>
      </c>
    </row>
    <row r="2677" spans="1:2" x14ac:dyDescent="0.25">
      <c r="A2677" t="s">
        <v>2853</v>
      </c>
      <c r="B2677">
        <v>185.6</v>
      </c>
    </row>
    <row r="2678" spans="1:2" x14ac:dyDescent="0.25">
      <c r="A2678" t="s">
        <v>2854</v>
      </c>
      <c r="B2678">
        <v>2.6629999999999998</v>
      </c>
    </row>
    <row r="2679" spans="1:2" x14ac:dyDescent="0.25">
      <c r="A2679" t="s">
        <v>2855</v>
      </c>
      <c r="B2679">
        <v>9.27</v>
      </c>
    </row>
    <row r="2680" spans="1:2" x14ac:dyDescent="0.25">
      <c r="A2680" t="s">
        <v>2856</v>
      </c>
      <c r="B2680">
        <v>11.82</v>
      </c>
    </row>
    <row r="2681" spans="1:2" x14ac:dyDescent="0.25">
      <c r="A2681" t="s">
        <v>2857</v>
      </c>
      <c r="B2681">
        <v>0.19420000000000001</v>
      </c>
    </row>
    <row r="2682" spans="1:2" x14ac:dyDescent="0.25">
      <c r="A2682" t="s">
        <v>2858</v>
      </c>
      <c r="B2682">
        <v>5.2489999999999997</v>
      </c>
    </row>
    <row r="2683" spans="1:2" x14ac:dyDescent="0.25">
      <c r="A2683" t="s">
        <v>2859</v>
      </c>
      <c r="B2683">
        <v>2.8570000000000002</v>
      </c>
    </row>
    <row r="2684" spans="1:2" x14ac:dyDescent="0.25">
      <c r="A2684" t="s">
        <v>2860</v>
      </c>
      <c r="B2684">
        <v>1.828E-4</v>
      </c>
    </row>
    <row r="2685" spans="1:2" x14ac:dyDescent="0.25">
      <c r="A2685" t="s">
        <v>2861</v>
      </c>
      <c r="B2685">
        <v>14.6</v>
      </c>
    </row>
    <row r="2686" spans="1:2" x14ac:dyDescent="0.25">
      <c r="A2686" t="s">
        <v>2862</v>
      </c>
      <c r="B2686">
        <v>4130702</v>
      </c>
    </row>
    <row r="2687" spans="1:2" x14ac:dyDescent="0.25">
      <c r="A2687" t="s">
        <v>2863</v>
      </c>
      <c r="B2687">
        <v>3.1359999999999999E-2</v>
      </c>
    </row>
    <row r="2688" spans="1:2" x14ac:dyDescent="0.25">
      <c r="A2688" t="s">
        <v>2864</v>
      </c>
      <c r="B2688">
        <v>1.111</v>
      </c>
    </row>
    <row r="2689" spans="1:2" x14ac:dyDescent="0.25">
      <c r="A2689" t="s">
        <v>2865</v>
      </c>
      <c r="B2689">
        <v>4.0949999999999998E-4</v>
      </c>
    </row>
    <row r="2690" spans="1:2" x14ac:dyDescent="0.25">
      <c r="A2690" t="s">
        <v>2866</v>
      </c>
      <c r="B2690">
        <v>38.5</v>
      </c>
    </row>
    <row r="2691" spans="1:2" x14ac:dyDescent="0.25">
      <c r="A2691" t="s">
        <v>2867</v>
      </c>
      <c r="B2691">
        <v>5.4350000000000002E-2</v>
      </c>
    </row>
    <row r="2692" spans="1:2" x14ac:dyDescent="0.25">
      <c r="A2692" t="s">
        <v>2868</v>
      </c>
      <c r="B2692">
        <v>38.520000000000003</v>
      </c>
    </row>
    <row r="2693" spans="1:2" x14ac:dyDescent="0.25">
      <c r="A2693" t="s">
        <v>2869</v>
      </c>
      <c r="B2693">
        <v>1360</v>
      </c>
    </row>
    <row r="2694" spans="1:2" x14ac:dyDescent="0.25">
      <c r="A2694" t="s">
        <v>2870</v>
      </c>
      <c r="B2694">
        <v>7.3899999999999994E-5</v>
      </c>
    </row>
    <row r="2695" spans="1:2" x14ac:dyDescent="0.25">
      <c r="A2695" t="s">
        <v>2871</v>
      </c>
      <c r="B2695">
        <v>6.9450000000000003</v>
      </c>
    </row>
    <row r="2696" spans="1:2" x14ac:dyDescent="0.25">
      <c r="A2696" t="s">
        <v>2872</v>
      </c>
      <c r="B2696">
        <v>6.9470000000000001</v>
      </c>
    </row>
    <row r="2697" spans="1:2" x14ac:dyDescent="0.25">
      <c r="A2697" t="s">
        <v>2873</v>
      </c>
      <c r="B2697">
        <v>6.9320000000000004</v>
      </c>
    </row>
    <row r="2698" spans="1:2" x14ac:dyDescent="0.25">
      <c r="A2698" t="s">
        <v>2874</v>
      </c>
      <c r="B2698">
        <v>245.4</v>
      </c>
    </row>
    <row r="2699" spans="1:2" x14ac:dyDescent="0.25">
      <c r="A2699" t="s">
        <v>2875</v>
      </c>
      <c r="B2699">
        <v>6.6639999999999997</v>
      </c>
    </row>
    <row r="2700" spans="1:2" x14ac:dyDescent="0.25">
      <c r="A2700" t="s">
        <v>2876</v>
      </c>
      <c r="B2700">
        <v>43.22</v>
      </c>
    </row>
    <row r="2701" spans="1:2" x14ac:dyDescent="0.25">
      <c r="A2701" t="s">
        <v>2877</v>
      </c>
      <c r="B2701">
        <v>5.961E-5</v>
      </c>
    </row>
    <row r="2702" spans="1:2" x14ac:dyDescent="0.25">
      <c r="A2702" t="s">
        <v>2878</v>
      </c>
      <c r="B2702">
        <v>5.6020000000000003</v>
      </c>
    </row>
    <row r="2703" spans="1:2" x14ac:dyDescent="0.25">
      <c r="A2703" t="s">
        <v>2879</v>
      </c>
      <c r="B2703">
        <v>5.6109999999999998</v>
      </c>
    </row>
    <row r="2704" spans="1:2" x14ac:dyDescent="0.25">
      <c r="A2704" t="s">
        <v>2880</v>
      </c>
      <c r="B2704">
        <v>198</v>
      </c>
    </row>
    <row r="2705" spans="1:2" x14ac:dyDescent="0.25">
      <c r="A2705" t="s">
        <v>2881</v>
      </c>
      <c r="B2705">
        <v>1.9887E-4</v>
      </c>
    </row>
    <row r="2706" spans="1:2" x14ac:dyDescent="0.25">
      <c r="A2706" t="s">
        <v>2882</v>
      </c>
      <c r="B2706">
        <v>6.0899999999999999E-3</v>
      </c>
    </row>
    <row r="2707" spans="1:2" x14ac:dyDescent="0.25">
      <c r="A2707" t="s">
        <v>2883</v>
      </c>
      <c r="B2707">
        <v>49.82</v>
      </c>
    </row>
    <row r="2708" spans="1:2" x14ac:dyDescent="0.25">
      <c r="A2708" t="s">
        <v>2884</v>
      </c>
      <c r="B2708">
        <v>54.46</v>
      </c>
    </row>
    <row r="2709" spans="1:2" x14ac:dyDescent="0.25">
      <c r="A2709" t="s">
        <v>2885</v>
      </c>
      <c r="B2709">
        <v>806.1</v>
      </c>
    </row>
    <row r="2710" spans="1:2" x14ac:dyDescent="0.25">
      <c r="A2710" t="s">
        <v>2886</v>
      </c>
      <c r="B2710">
        <v>5.5960000000000001</v>
      </c>
    </row>
    <row r="2711" spans="1:2" x14ac:dyDescent="0.25">
      <c r="A2711" t="s">
        <v>2887</v>
      </c>
      <c r="B2711">
        <v>329.37</v>
      </c>
    </row>
    <row r="2712" spans="1:2" x14ac:dyDescent="0.25">
      <c r="A2712" t="s">
        <v>2888</v>
      </c>
      <c r="B2712">
        <v>5.4109999999999998E-4</v>
      </c>
    </row>
    <row r="2713" spans="1:2" x14ac:dyDescent="0.25">
      <c r="A2713" t="s">
        <v>2889</v>
      </c>
      <c r="B2713">
        <v>7.7000000000000004E-7</v>
      </c>
    </row>
    <row r="2714" spans="1:2" x14ac:dyDescent="0.25">
      <c r="A2714" t="s">
        <v>2890</v>
      </c>
      <c r="B2714">
        <v>5.4029999999999996E-4</v>
      </c>
    </row>
    <row r="2715" spans="1:2" x14ac:dyDescent="0.25">
      <c r="A2715" t="s">
        <v>2891</v>
      </c>
      <c r="B2715">
        <v>1.9109999999999999E-2</v>
      </c>
    </row>
    <row r="2716" spans="1:2" x14ac:dyDescent="0.25">
      <c r="A2716" t="s">
        <v>2892</v>
      </c>
      <c r="B2716">
        <v>1.0001</v>
      </c>
    </row>
    <row r="2717" spans="1:2" x14ac:dyDescent="0.25">
      <c r="A2717" t="s">
        <v>2893</v>
      </c>
      <c r="B2717">
        <v>1.0408999999999999</v>
      </c>
    </row>
    <row r="2718" spans="1:2" x14ac:dyDescent="0.25">
      <c r="A2718" t="s">
        <v>2894</v>
      </c>
      <c r="B2718">
        <v>3.3609999999999998E-3</v>
      </c>
    </row>
    <row r="2719" spans="1:2" x14ac:dyDescent="0.25">
      <c r="A2719" t="s">
        <v>2895</v>
      </c>
      <c r="B2719">
        <v>5.4000000000000001E-4</v>
      </c>
    </row>
    <row r="2720" spans="1:2" x14ac:dyDescent="0.25">
      <c r="A2720" t="s">
        <v>2896</v>
      </c>
      <c r="B2720">
        <v>0.68689999999999996</v>
      </c>
    </row>
    <row r="2721" spans="1:2" x14ac:dyDescent="0.25">
      <c r="A2721" t="s">
        <v>2897</v>
      </c>
      <c r="B2721">
        <v>0.11550000000000001</v>
      </c>
    </row>
    <row r="2722" spans="1:2" x14ac:dyDescent="0.25">
      <c r="A2722" t="s">
        <v>2898</v>
      </c>
      <c r="B2722">
        <v>3.49E-6</v>
      </c>
    </row>
    <row r="2723" spans="1:2" x14ac:dyDescent="0.25">
      <c r="A2723" t="s">
        <v>2899</v>
      </c>
      <c r="B2723">
        <v>11.62</v>
      </c>
    </row>
    <row r="2724" spans="1:2" x14ac:dyDescent="0.25">
      <c r="A2724" t="s">
        <v>2900</v>
      </c>
      <c r="B2724">
        <v>0.32819999999999999</v>
      </c>
    </row>
    <row r="2725" spans="1:2" x14ac:dyDescent="0.25">
      <c r="A2725" t="s">
        <v>2901</v>
      </c>
      <c r="B2725">
        <v>0.32840000000000003</v>
      </c>
    </row>
    <row r="2726" spans="1:2" x14ac:dyDescent="0.25">
      <c r="A2726" t="s">
        <v>2904</v>
      </c>
      <c r="B2726">
        <v>329.5</v>
      </c>
    </row>
    <row r="2727" spans="1:2" x14ac:dyDescent="0.25">
      <c r="A2727" t="s">
        <v>2905</v>
      </c>
      <c r="B2727">
        <v>0.86719999999999997</v>
      </c>
    </row>
    <row r="2728" spans="1:2" x14ac:dyDescent="0.25">
      <c r="A2728" t="s">
        <v>2906</v>
      </c>
      <c r="B2728">
        <v>0.21809999999999999</v>
      </c>
    </row>
    <row r="2729" spans="1:2" x14ac:dyDescent="0.25">
      <c r="A2729" t="s">
        <v>2907</v>
      </c>
      <c r="B2729">
        <v>6.6739999999999996E-4</v>
      </c>
    </row>
    <row r="2730" spans="1:2" x14ac:dyDescent="0.25">
      <c r="A2730" t="s">
        <v>2908</v>
      </c>
      <c r="B2730">
        <v>2.92</v>
      </c>
    </row>
    <row r="2731" spans="1:2" x14ac:dyDescent="0.25">
      <c r="A2731" t="s">
        <v>2909</v>
      </c>
      <c r="B2731">
        <v>5.0100000000000003E-6</v>
      </c>
    </row>
    <row r="2732" spans="1:2" x14ac:dyDescent="0.25">
      <c r="A2732" t="s">
        <v>2910</v>
      </c>
      <c r="B2732">
        <v>1.3899999999999999E-4</v>
      </c>
    </row>
    <row r="2733" spans="1:2" x14ac:dyDescent="0.25">
      <c r="A2733" t="s">
        <v>2911</v>
      </c>
      <c r="B2733">
        <v>0.4536</v>
      </c>
    </row>
    <row r="2734" spans="1:2" x14ac:dyDescent="0.25">
      <c r="A2734" t="s">
        <v>2912</v>
      </c>
      <c r="B2734">
        <v>0.46929999999999999</v>
      </c>
    </row>
    <row r="2735" spans="1:2" x14ac:dyDescent="0.25">
      <c r="A2735" t="s">
        <v>2913</v>
      </c>
      <c r="B2735">
        <v>73.84</v>
      </c>
    </row>
    <row r="2736" spans="1:2" x14ac:dyDescent="0.25">
      <c r="A2736" t="s">
        <v>2914</v>
      </c>
      <c r="B2736">
        <v>16.62</v>
      </c>
    </row>
    <row r="2737" spans="1:2" x14ac:dyDescent="0.25">
      <c r="A2737" t="s">
        <v>2915</v>
      </c>
      <c r="B2737">
        <v>0.46929999999999999</v>
      </c>
    </row>
    <row r="2738" spans="1:2" x14ac:dyDescent="0.25">
      <c r="A2738" t="s">
        <v>2916</v>
      </c>
      <c r="B2738">
        <v>0.46989999999999998</v>
      </c>
    </row>
    <row r="2739" spans="1:2" x14ac:dyDescent="0.25">
      <c r="A2739" t="s">
        <v>2923</v>
      </c>
      <c r="B2739">
        <v>9.9565999999999999E-4</v>
      </c>
    </row>
    <row r="2740" spans="1:2" x14ac:dyDescent="0.25">
      <c r="A2740" t="s">
        <v>2924</v>
      </c>
      <c r="B2740">
        <v>9.4210000000000006E-3</v>
      </c>
    </row>
    <row r="2741" spans="1:2" x14ac:dyDescent="0.25">
      <c r="A2741" t="s">
        <v>2925</v>
      </c>
      <c r="B2741">
        <v>3.1545000000000002E-3</v>
      </c>
    </row>
    <row r="2742" spans="1:2" x14ac:dyDescent="0.25">
      <c r="A2742" t="s">
        <v>2926</v>
      </c>
      <c r="B2742">
        <v>0.38030000000000003</v>
      </c>
    </row>
    <row r="2743" spans="1:2" x14ac:dyDescent="0.25">
      <c r="A2743" t="s">
        <v>2927</v>
      </c>
      <c r="B2743">
        <v>5.3700000000000004E-4</v>
      </c>
    </row>
    <row r="2744" spans="1:2" x14ac:dyDescent="0.25">
      <c r="A2744" t="s">
        <v>2928</v>
      </c>
      <c r="B2744">
        <v>0.37930000000000003</v>
      </c>
    </row>
    <row r="2745" spans="1:2" x14ac:dyDescent="0.25">
      <c r="A2745" t="s">
        <v>2929</v>
      </c>
      <c r="B2745">
        <v>13.44</v>
      </c>
    </row>
    <row r="2746" spans="1:2" x14ac:dyDescent="0.25">
      <c r="A2746" t="s">
        <v>2930</v>
      </c>
      <c r="B2746">
        <v>3.1535999999999999E-3</v>
      </c>
    </row>
    <row r="2747" spans="1:2" x14ac:dyDescent="0.25">
      <c r="A2747" t="s">
        <v>2931</v>
      </c>
      <c r="B2747">
        <v>0.1115</v>
      </c>
    </row>
    <row r="2748" spans="1:2" x14ac:dyDescent="0.25">
      <c r="A2748" t="s">
        <v>2932</v>
      </c>
      <c r="B2748">
        <v>2.37</v>
      </c>
    </row>
    <row r="2749" spans="1:2" x14ac:dyDescent="0.25">
      <c r="A2749" t="s">
        <v>2933</v>
      </c>
      <c r="B2749">
        <v>90453.69</v>
      </c>
    </row>
    <row r="2750" spans="1:2" x14ac:dyDescent="0.25">
      <c r="A2750" t="s">
        <v>2934</v>
      </c>
      <c r="B2750">
        <v>9.9645000000000007E-4</v>
      </c>
    </row>
    <row r="2751" spans="1:2" x14ac:dyDescent="0.25">
      <c r="A2751" t="s">
        <v>2935</v>
      </c>
      <c r="B2751">
        <v>3.5180000000000003E-2</v>
      </c>
    </row>
    <row r="2752" spans="1:2" x14ac:dyDescent="0.25">
      <c r="A2752" t="s">
        <v>2936</v>
      </c>
      <c r="B2752">
        <v>3.0339999999999998E-3</v>
      </c>
    </row>
    <row r="2753" spans="1:2" x14ac:dyDescent="0.25">
      <c r="A2753" t="s">
        <v>2937</v>
      </c>
      <c r="B2753">
        <v>3.8700000000000002E-6</v>
      </c>
    </row>
    <row r="2754" spans="1:2" x14ac:dyDescent="0.25">
      <c r="A2754" t="s">
        <v>2938</v>
      </c>
      <c r="B2754">
        <v>3.0300000000000001E-3</v>
      </c>
    </row>
    <row r="2755" spans="1:2" x14ac:dyDescent="0.25">
      <c r="A2755" t="s">
        <v>2939</v>
      </c>
      <c r="B2755">
        <v>0.1072</v>
      </c>
    </row>
    <row r="2756" spans="1:2" x14ac:dyDescent="0.25">
      <c r="A2756" t="s">
        <v>2944</v>
      </c>
      <c r="B2756">
        <v>3.8699999999999999E-5</v>
      </c>
    </row>
    <row r="2757" spans="1:2" x14ac:dyDescent="0.25">
      <c r="A2757" t="s">
        <v>2945</v>
      </c>
      <c r="B2757">
        <v>3.625</v>
      </c>
    </row>
    <row r="2758" spans="1:2" x14ac:dyDescent="0.25">
      <c r="A2758" t="s">
        <v>2946</v>
      </c>
      <c r="B2758">
        <v>3.625</v>
      </c>
    </row>
    <row r="2759" spans="1:2" x14ac:dyDescent="0.25">
      <c r="A2759" t="s">
        <v>2947</v>
      </c>
      <c r="B2759">
        <v>128.18</v>
      </c>
    </row>
    <row r="2760" spans="1:2" x14ac:dyDescent="0.25">
      <c r="A2760" t="s">
        <v>2948</v>
      </c>
      <c r="B2760">
        <v>6.1929999999999997E-3</v>
      </c>
    </row>
    <row r="2761" spans="1:2" x14ac:dyDescent="0.25">
      <c r="A2761" t="s">
        <v>2949</v>
      </c>
      <c r="B2761">
        <v>9.5761000000000002E-4</v>
      </c>
    </row>
    <row r="2762" spans="1:2" x14ac:dyDescent="0.25">
      <c r="A2762" t="s">
        <v>2950</v>
      </c>
      <c r="B2762">
        <v>1.0237000000000001</v>
      </c>
    </row>
    <row r="2763" spans="1:2" x14ac:dyDescent="0.25">
      <c r="A2763" t="s">
        <v>2951</v>
      </c>
      <c r="B2763">
        <v>1.0309999999999999</v>
      </c>
    </row>
    <row r="2764" spans="1:2" x14ac:dyDescent="0.25">
      <c r="A2764" t="s">
        <v>2953</v>
      </c>
      <c r="B2764">
        <v>26.84</v>
      </c>
    </row>
    <row r="2765" spans="1:2" x14ac:dyDescent="0.25">
      <c r="A2765" t="s">
        <v>2954</v>
      </c>
      <c r="B2765">
        <v>0.3332</v>
      </c>
    </row>
    <row r="2766" spans="1:2" x14ac:dyDescent="0.25">
      <c r="A2766" t="s">
        <v>2955</v>
      </c>
      <c r="B2766">
        <v>199.3</v>
      </c>
    </row>
    <row r="2767" spans="1:2" x14ac:dyDescent="0.25">
      <c r="A2767" t="s">
        <v>2956</v>
      </c>
      <c r="B2767">
        <v>1.3360000000000001</v>
      </c>
    </row>
    <row r="2768" spans="1:2" x14ac:dyDescent="0.25">
      <c r="A2768" t="s">
        <v>2957</v>
      </c>
      <c r="B2768">
        <v>1.095E-5</v>
      </c>
    </row>
    <row r="2769" spans="1:2" x14ac:dyDescent="0.25">
      <c r="A2769" t="s">
        <v>2958</v>
      </c>
      <c r="B2769">
        <v>1.03</v>
      </c>
    </row>
    <row r="2770" spans="1:2" x14ac:dyDescent="0.25">
      <c r="A2770" t="s">
        <v>2959</v>
      </c>
      <c r="B2770">
        <v>36.520000000000003</v>
      </c>
    </row>
    <row r="2771" spans="1:2" x14ac:dyDescent="0.25">
      <c r="A2771" t="s">
        <v>2960</v>
      </c>
      <c r="B2771">
        <v>0.19989999999999999</v>
      </c>
    </row>
    <row r="2772" spans="1:2" x14ac:dyDescent="0.25">
      <c r="A2772" t="s">
        <v>2963</v>
      </c>
      <c r="B2772">
        <v>0.92769999999999997</v>
      </c>
    </row>
    <row r="2773" spans="1:2" x14ac:dyDescent="0.25">
      <c r="A2773" t="s">
        <v>2964</v>
      </c>
      <c r="B2773">
        <v>0.30980000000000002</v>
      </c>
    </row>
    <row r="2774" spans="1:2" x14ac:dyDescent="0.25">
      <c r="A2774" t="s">
        <v>2974</v>
      </c>
      <c r="B2774">
        <v>0.68730000000000002</v>
      </c>
    </row>
    <row r="2775" spans="1:2" x14ac:dyDescent="0.25">
      <c r="A2775" t="s">
        <v>2975</v>
      </c>
      <c r="B2775">
        <v>0.27810000000000001</v>
      </c>
    </row>
    <row r="2776" spans="1:2" x14ac:dyDescent="0.25">
      <c r="A2776" t="s">
        <v>2976</v>
      </c>
      <c r="B2776">
        <v>9.83</v>
      </c>
    </row>
    <row r="2777" spans="1:2" x14ac:dyDescent="0.25">
      <c r="A2777" t="s">
        <v>2977</v>
      </c>
      <c r="B2777">
        <v>32.840000000000003</v>
      </c>
    </row>
    <row r="2778" spans="1:2" x14ac:dyDescent="0.25">
      <c r="A2778" t="s">
        <v>2978</v>
      </c>
      <c r="B2778">
        <v>10.97</v>
      </c>
    </row>
    <row r="2779" spans="1:2" x14ac:dyDescent="0.25">
      <c r="A2779" t="s">
        <v>2979</v>
      </c>
      <c r="B2779">
        <v>0.17860000000000001</v>
      </c>
    </row>
    <row r="2780" spans="1:2" x14ac:dyDescent="0.25">
      <c r="A2780" t="s">
        <v>2980</v>
      </c>
      <c r="B2780">
        <v>24.29</v>
      </c>
    </row>
    <row r="2781" spans="1:2" x14ac:dyDescent="0.25">
      <c r="A2781" t="s">
        <v>2981</v>
      </c>
      <c r="B2781">
        <v>0.27829999999999999</v>
      </c>
    </row>
    <row r="2782" spans="1:2" x14ac:dyDescent="0.25">
      <c r="A2782" t="s">
        <v>2982</v>
      </c>
      <c r="B2782">
        <v>0.2787</v>
      </c>
    </row>
    <row r="2783" spans="1:2" x14ac:dyDescent="0.25">
      <c r="A2783" t="s">
        <v>2983</v>
      </c>
      <c r="B2783">
        <v>9.9668999999999995E-4</v>
      </c>
    </row>
    <row r="2784" spans="1:2" x14ac:dyDescent="0.25">
      <c r="A2784" t="s">
        <v>2984</v>
      </c>
      <c r="B2784">
        <v>7.3499999999999999E-6</v>
      </c>
    </row>
    <row r="2785" spans="1:2" x14ac:dyDescent="0.25">
      <c r="A2785" t="s">
        <v>2985</v>
      </c>
      <c r="B2785">
        <v>0.69010000000000005</v>
      </c>
    </row>
    <row r="2786" spans="1:2" x14ac:dyDescent="0.25">
      <c r="A2786" t="s">
        <v>2986</v>
      </c>
      <c r="B2786">
        <v>0.68869999999999998</v>
      </c>
    </row>
    <row r="2787" spans="1:2" x14ac:dyDescent="0.25">
      <c r="A2787" t="s">
        <v>2987</v>
      </c>
      <c r="B2787">
        <v>1.0235000000000001</v>
      </c>
    </row>
    <row r="2788" spans="1:2" x14ac:dyDescent="0.25">
      <c r="A2788" t="s">
        <v>2988</v>
      </c>
      <c r="B2788">
        <v>1.732</v>
      </c>
    </row>
    <row r="2789" spans="1:2" x14ac:dyDescent="0.25">
      <c r="A2789" t="s">
        <v>2989</v>
      </c>
      <c r="B2789">
        <v>0.26729999999999998</v>
      </c>
    </row>
    <row r="2790" spans="1:2" x14ac:dyDescent="0.25">
      <c r="A2790" t="s">
        <v>2990</v>
      </c>
      <c r="B2790">
        <v>0.38030000000000003</v>
      </c>
    </row>
    <row r="2791" spans="1:2" x14ac:dyDescent="0.25">
      <c r="A2791" t="s">
        <v>2991</v>
      </c>
      <c r="B2791">
        <v>3265.98</v>
      </c>
    </row>
    <row r="2792" spans="1:2" x14ac:dyDescent="0.25">
      <c r="A2792" t="s">
        <v>2992</v>
      </c>
      <c r="B2792">
        <v>47.34</v>
      </c>
    </row>
    <row r="2793" spans="1:2" x14ac:dyDescent="0.25">
      <c r="A2793" t="s">
        <v>2993</v>
      </c>
      <c r="B2793">
        <v>4.2750000000000004</v>
      </c>
    </row>
    <row r="2794" spans="1:2" x14ac:dyDescent="0.25">
      <c r="A2794" t="s">
        <v>2994</v>
      </c>
      <c r="B2794">
        <v>0.66349999999999998</v>
      </c>
    </row>
    <row r="2795" spans="1:2" x14ac:dyDescent="0.25">
      <c r="A2795" t="s">
        <v>2995</v>
      </c>
      <c r="B2795">
        <v>1.2350000000000001</v>
      </c>
    </row>
    <row r="2796" spans="1:2" x14ac:dyDescent="0.25">
      <c r="A2796" t="s">
        <v>2996</v>
      </c>
      <c r="B2796">
        <v>0.99980000000000002</v>
      </c>
    </row>
    <row r="2797" spans="1:2" x14ac:dyDescent="0.25">
      <c r="A2797" t="s">
        <v>2997</v>
      </c>
      <c r="B2797">
        <v>0.28090999999999999</v>
      </c>
    </row>
    <row r="2798" spans="1:2" x14ac:dyDescent="0.25">
      <c r="A2798" t="s">
        <v>2998</v>
      </c>
      <c r="B2798">
        <v>3.5285000000000002</v>
      </c>
    </row>
    <row r="2799" spans="1:2" x14ac:dyDescent="0.25">
      <c r="A2799" t="s">
        <v>2999</v>
      </c>
      <c r="B2799">
        <v>5.04</v>
      </c>
    </row>
    <row r="2800" spans="1:2" x14ac:dyDescent="0.25">
      <c r="A2800" t="s">
        <v>3000</v>
      </c>
      <c r="B2800">
        <v>461.2</v>
      </c>
    </row>
    <row r="2801" spans="1:2" x14ac:dyDescent="0.25">
      <c r="A2801" t="s">
        <v>3001</v>
      </c>
      <c r="B2801">
        <v>9.4199999999999996E-3</v>
      </c>
    </row>
    <row r="2802" spans="1:2" x14ac:dyDescent="0.25">
      <c r="A2802" t="s">
        <v>3002</v>
      </c>
      <c r="B2802">
        <v>1.5970000000000001E-5</v>
      </c>
    </row>
    <row r="2803" spans="1:2" x14ac:dyDescent="0.25">
      <c r="A2803" t="s">
        <v>3003</v>
      </c>
      <c r="B2803">
        <v>2.1323000000000002E-3</v>
      </c>
    </row>
    <row r="2804" spans="1:2" x14ac:dyDescent="0.25">
      <c r="A2804" t="s">
        <v>3004</v>
      </c>
      <c r="B2804">
        <v>1.5055000000000001</v>
      </c>
    </row>
    <row r="2805" spans="1:2" x14ac:dyDescent="0.25">
      <c r="A2805" t="s">
        <v>3005</v>
      </c>
      <c r="B2805">
        <v>53.095999999999997</v>
      </c>
    </row>
    <row r="2806" spans="1:2" x14ac:dyDescent="0.25">
      <c r="A2806" t="s">
        <v>3006</v>
      </c>
      <c r="B2806">
        <v>1.5007999999999999</v>
      </c>
    </row>
    <row r="2807" spans="1:2" x14ac:dyDescent="0.25">
      <c r="A2807" t="s">
        <v>3007</v>
      </c>
      <c r="B2807">
        <v>1.232</v>
      </c>
    </row>
    <row r="2808" spans="1:2" x14ac:dyDescent="0.25">
      <c r="A2808" t="s">
        <v>3008</v>
      </c>
      <c r="B2808">
        <v>6.1760000000000001E-3</v>
      </c>
    </row>
    <row r="2809" spans="1:2" x14ac:dyDescent="0.25">
      <c r="A2809" t="s">
        <v>3009</v>
      </c>
      <c r="B2809">
        <v>3.621</v>
      </c>
    </row>
    <row r="2810" spans="1:2" x14ac:dyDescent="0.25">
      <c r="A2810" t="s">
        <v>3010</v>
      </c>
      <c r="B2810">
        <v>0.28090999999999999</v>
      </c>
    </row>
    <row r="2811" spans="1:2" x14ac:dyDescent="0.25">
      <c r="A2811" t="s">
        <v>3011</v>
      </c>
      <c r="B2811">
        <v>1.1050000000000001E-2</v>
      </c>
    </row>
    <row r="2812" spans="1:2" x14ac:dyDescent="0.25">
      <c r="A2812" t="s">
        <v>3012</v>
      </c>
      <c r="B2812">
        <v>5.0419999999999996E-3</v>
      </c>
    </row>
    <row r="2813" spans="1:2" x14ac:dyDescent="0.25">
      <c r="A2813" t="s">
        <v>3013</v>
      </c>
      <c r="B2813">
        <v>2.0390000000000001</v>
      </c>
    </row>
    <row r="2814" spans="1:2" x14ac:dyDescent="0.25">
      <c r="A2814" t="s">
        <v>3014</v>
      </c>
      <c r="B2814">
        <v>3.1587999999999998E-3</v>
      </c>
    </row>
    <row r="2815" spans="1:2" x14ac:dyDescent="0.25">
      <c r="A2815" t="s">
        <v>3015</v>
      </c>
      <c r="B2815">
        <v>0.30980000000000002</v>
      </c>
    </row>
    <row r="2816" spans="1:2" x14ac:dyDescent="0.25">
      <c r="A2816" t="s">
        <v>3016</v>
      </c>
      <c r="B2816">
        <v>0.92859999999999998</v>
      </c>
    </row>
    <row r="2817" spans="1:2" x14ac:dyDescent="0.25">
      <c r="A2817" t="s">
        <v>3017</v>
      </c>
      <c r="B2817">
        <v>1.538</v>
      </c>
    </row>
    <row r="2818" spans="1:2" x14ac:dyDescent="0.25">
      <c r="A2818" t="s">
        <v>3018</v>
      </c>
      <c r="B2818">
        <v>3.0339999999999998E-3</v>
      </c>
    </row>
    <row r="2819" spans="1:2" x14ac:dyDescent="0.25">
      <c r="A2819" t="s">
        <v>3019</v>
      </c>
      <c r="B2819">
        <v>9.4109999999999992E-3</v>
      </c>
    </row>
    <row r="2820" spans="1:2" x14ac:dyDescent="0.25">
      <c r="A2820" t="s">
        <v>3020</v>
      </c>
      <c r="B2820">
        <v>6.1310000000000002</v>
      </c>
    </row>
    <row r="2821" spans="1:2" x14ac:dyDescent="0.25">
      <c r="A2821" t="s">
        <v>3021</v>
      </c>
      <c r="B2821">
        <v>0.78349999999999997</v>
      </c>
    </row>
    <row r="2822" spans="1:2" x14ac:dyDescent="0.25">
      <c r="A2822" t="s">
        <v>3022</v>
      </c>
      <c r="B2822">
        <v>0.2001</v>
      </c>
    </row>
    <row r="2823" spans="1:2" x14ac:dyDescent="0.25">
      <c r="A2823" t="s">
        <v>3023</v>
      </c>
      <c r="B2823">
        <v>0.55379999999999996</v>
      </c>
    </row>
    <row r="2824" spans="1:2" x14ac:dyDescent="0.25">
      <c r="A2824" t="s">
        <v>3024</v>
      </c>
      <c r="B2824">
        <v>0.34039999999999998</v>
      </c>
    </row>
    <row r="2825" spans="1:2" x14ac:dyDescent="0.25">
      <c r="A2825" t="s">
        <v>3025</v>
      </c>
      <c r="B2825">
        <v>8.5199999999999998E-2</v>
      </c>
    </row>
    <row r="2826" spans="1:2" x14ac:dyDescent="0.25">
      <c r="A2826" t="s">
        <v>3026</v>
      </c>
      <c r="B2826">
        <v>0.37480000000000002</v>
      </c>
    </row>
    <row r="2827" spans="1:2" x14ac:dyDescent="0.25">
      <c r="A2827" t="s">
        <v>3027</v>
      </c>
      <c r="B2827">
        <v>1.3761000000000001E-2</v>
      </c>
    </row>
    <row r="2828" spans="1:2" x14ac:dyDescent="0.25">
      <c r="A2828" t="s">
        <v>3028</v>
      </c>
      <c r="B2828">
        <v>1.3778E-2</v>
      </c>
    </row>
    <row r="2829" spans="1:2" x14ac:dyDescent="0.25">
      <c r="A2829" t="s">
        <v>3029</v>
      </c>
      <c r="B2829">
        <v>0.30449999999999999</v>
      </c>
    </row>
    <row r="2830" spans="1:2" x14ac:dyDescent="0.25">
      <c r="A2830" t="s">
        <v>3030</v>
      </c>
      <c r="B2830">
        <v>1.3640000000000001</v>
      </c>
    </row>
    <row r="2831" spans="1:2" x14ac:dyDescent="0.25">
      <c r="A2831" t="s">
        <v>3031</v>
      </c>
      <c r="B2831">
        <v>0.61050000000000004</v>
      </c>
    </row>
    <row r="2832" spans="1:2" x14ac:dyDescent="0.25">
      <c r="A2832" t="s">
        <v>3032</v>
      </c>
      <c r="B2832">
        <v>3.8650000000000002</v>
      </c>
    </row>
    <row r="2833" spans="1:2" x14ac:dyDescent="0.25">
      <c r="A2833" t="s">
        <v>3033</v>
      </c>
      <c r="B2833">
        <v>1.0210000000000001E-5</v>
      </c>
    </row>
    <row r="2834" spans="1:2" x14ac:dyDescent="0.25">
      <c r="A2834" t="s">
        <v>3034</v>
      </c>
      <c r="B2834">
        <v>0.96009999999999995</v>
      </c>
    </row>
    <row r="2835" spans="1:2" x14ac:dyDescent="0.25">
      <c r="A2835" t="s">
        <v>3035</v>
      </c>
      <c r="B2835">
        <v>1.3519999999999999E-3</v>
      </c>
    </row>
    <row r="2836" spans="1:2" x14ac:dyDescent="0.25">
      <c r="A2836" t="s">
        <v>3036</v>
      </c>
      <c r="B2836">
        <v>0.96050000000000002</v>
      </c>
    </row>
    <row r="2837" spans="1:2" x14ac:dyDescent="0.25">
      <c r="A2837" t="s">
        <v>3037</v>
      </c>
      <c r="B2837">
        <v>33.927999999999997</v>
      </c>
    </row>
    <row r="2838" spans="1:2" x14ac:dyDescent="0.25">
      <c r="A2838" t="s">
        <v>3038</v>
      </c>
      <c r="B2838">
        <v>3.4350000000000001E-5</v>
      </c>
    </row>
    <row r="2839" spans="1:2" x14ac:dyDescent="0.25">
      <c r="A2839" t="s">
        <v>3039</v>
      </c>
      <c r="B2839">
        <v>3.2280000000000002</v>
      </c>
    </row>
    <row r="2840" spans="1:2" x14ac:dyDescent="0.25">
      <c r="A2840" t="s">
        <v>3040</v>
      </c>
      <c r="B2840">
        <v>3.2269999999999999</v>
      </c>
    </row>
    <row r="2841" spans="1:2" x14ac:dyDescent="0.25">
      <c r="A2841" t="s">
        <v>3041</v>
      </c>
      <c r="B2841">
        <v>114.04</v>
      </c>
    </row>
    <row r="2842" spans="1:2" x14ac:dyDescent="0.25">
      <c r="A2842" t="s">
        <v>3042</v>
      </c>
      <c r="B2842">
        <v>0.61080000000000001</v>
      </c>
    </row>
    <row r="2843" spans="1:2" x14ac:dyDescent="0.25">
      <c r="A2843" t="s">
        <v>3043</v>
      </c>
      <c r="B2843">
        <v>3.859</v>
      </c>
    </row>
    <row r="2844" spans="1:2" x14ac:dyDescent="0.25">
      <c r="A2844" t="s">
        <v>3044</v>
      </c>
      <c r="B2844">
        <v>0.61140000000000005</v>
      </c>
    </row>
    <row r="2845" spans="1:2" x14ac:dyDescent="0.25">
      <c r="A2845" t="s">
        <v>3045</v>
      </c>
      <c r="B2845">
        <v>3.8580000000000001</v>
      </c>
    </row>
    <row r="2846" spans="1:2" x14ac:dyDescent="0.25">
      <c r="A2846" t="s">
        <v>3046</v>
      </c>
      <c r="B2846">
        <v>21.64</v>
      </c>
    </row>
    <row r="2847" spans="1:2" x14ac:dyDescent="0.25">
      <c r="A2847" t="s">
        <v>3047</v>
      </c>
      <c r="B2847">
        <v>137.1</v>
      </c>
    </row>
    <row r="2848" spans="1:2" x14ac:dyDescent="0.25">
      <c r="A2848" t="s">
        <v>3048</v>
      </c>
      <c r="B2848">
        <v>1224</v>
      </c>
    </row>
    <row r="2849" spans="1:2" x14ac:dyDescent="0.25">
      <c r="A2849" t="s">
        <v>3049</v>
      </c>
      <c r="B2849">
        <v>23.87</v>
      </c>
    </row>
    <row r="2850" spans="1:2" x14ac:dyDescent="0.25">
      <c r="A2850" t="s">
        <v>3050</v>
      </c>
      <c r="B2850">
        <v>0.3503</v>
      </c>
    </row>
    <row r="2851" spans="1:2" x14ac:dyDescent="0.25">
      <c r="A2851" t="s">
        <v>3051</v>
      </c>
      <c r="B2851">
        <v>0.34760000000000002</v>
      </c>
    </row>
    <row r="2852" spans="1:2" x14ac:dyDescent="0.25">
      <c r="A2852" t="s">
        <v>3052</v>
      </c>
      <c r="B2852">
        <v>6.9129999999999997E-2</v>
      </c>
    </row>
    <row r="2853" spans="1:2" x14ac:dyDescent="0.25">
      <c r="A2853" t="s">
        <v>3053</v>
      </c>
      <c r="B2853">
        <v>6.9099999999999995E-2</v>
      </c>
    </row>
    <row r="2854" spans="1:2" x14ac:dyDescent="0.25">
      <c r="A2854" t="s">
        <v>3054</v>
      </c>
      <c r="B2854">
        <v>1.37E-2</v>
      </c>
    </row>
    <row r="2855" spans="1:2" x14ac:dyDescent="0.25">
      <c r="A2855" t="s">
        <v>3055</v>
      </c>
      <c r="B2855">
        <v>1.362E-2</v>
      </c>
    </row>
    <row r="2856" spans="1:2" x14ac:dyDescent="0.25">
      <c r="A2856" t="s">
        <v>3056</v>
      </c>
      <c r="B2856">
        <v>0.18210000000000001</v>
      </c>
    </row>
    <row r="2857" spans="1:2" x14ac:dyDescent="0.25">
      <c r="A2857" t="s">
        <v>3057</v>
      </c>
      <c r="B2857">
        <v>17.177</v>
      </c>
    </row>
    <row r="2858" spans="1:2" x14ac:dyDescent="0.25">
      <c r="A2858" t="s">
        <v>3058</v>
      </c>
      <c r="B2858">
        <v>2.4309999999999998E-2</v>
      </c>
    </row>
    <row r="2859" spans="1:2" x14ac:dyDescent="0.25">
      <c r="A2859" t="s">
        <v>3059</v>
      </c>
      <c r="B2859">
        <v>17.298999999999999</v>
      </c>
    </row>
    <row r="2860" spans="1:2" x14ac:dyDescent="0.25">
      <c r="A2860" t="s">
        <v>3060</v>
      </c>
      <c r="B2860">
        <v>607.4</v>
      </c>
    </row>
    <row r="2861" spans="1:2" x14ac:dyDescent="0.25">
      <c r="A2861" t="s">
        <v>3061</v>
      </c>
      <c r="B2861">
        <v>3.6139999999999999E-2</v>
      </c>
    </row>
    <row r="2862" spans="1:2" x14ac:dyDescent="0.25">
      <c r="A2862" t="s">
        <v>3062</v>
      </c>
      <c r="B2862">
        <v>5.0800000000000002E-5</v>
      </c>
    </row>
    <row r="2863" spans="1:2" x14ac:dyDescent="0.25">
      <c r="A2863" t="s">
        <v>3063</v>
      </c>
      <c r="B2863">
        <v>3.6179999999999997E-2</v>
      </c>
    </row>
    <row r="2864" spans="1:2" x14ac:dyDescent="0.25">
      <c r="A2864" t="s">
        <v>3064</v>
      </c>
      <c r="B2864">
        <v>1.278</v>
      </c>
    </row>
    <row r="2865" spans="1:2" x14ac:dyDescent="0.25">
      <c r="A2865" t="s">
        <v>3065</v>
      </c>
      <c r="B2865">
        <v>3.1537000000000003E-2</v>
      </c>
    </row>
    <row r="2866" spans="1:2" x14ac:dyDescent="0.25">
      <c r="A2866" t="s">
        <v>3066</v>
      </c>
      <c r="B2866">
        <v>4.4679999999999999E-5</v>
      </c>
    </row>
    <row r="2867" spans="1:2" x14ac:dyDescent="0.25">
      <c r="A2867" t="s">
        <v>3067</v>
      </c>
      <c r="B2867">
        <v>3.1490999999999998E-2</v>
      </c>
    </row>
    <row r="2868" spans="1:2" x14ac:dyDescent="0.25">
      <c r="A2868" t="s">
        <v>3068</v>
      </c>
      <c r="B2868">
        <v>1.1146</v>
      </c>
    </row>
    <row r="2869" spans="1:2" x14ac:dyDescent="0.25">
      <c r="A2869" t="s">
        <v>3069</v>
      </c>
      <c r="B2869">
        <v>1.0879999999999999E-5</v>
      </c>
    </row>
    <row r="2870" spans="1:2" x14ac:dyDescent="0.25">
      <c r="A2870" t="s">
        <v>3070</v>
      </c>
      <c r="B2870">
        <v>1.0224</v>
      </c>
    </row>
    <row r="2871" spans="1:2" x14ac:dyDescent="0.25">
      <c r="A2871" t="s">
        <v>3071</v>
      </c>
      <c r="B2871">
        <v>36.19</v>
      </c>
    </row>
    <row r="2872" spans="1:2" x14ac:dyDescent="0.25">
      <c r="A2872" t="s">
        <v>3072</v>
      </c>
      <c r="B2872">
        <v>3.6110000000000003E-2</v>
      </c>
    </row>
    <row r="2873" spans="1:2" x14ac:dyDescent="0.25">
      <c r="A2873" t="s">
        <v>3073</v>
      </c>
      <c r="B2873">
        <v>3.1531999999999998E-2</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1680C-61CF-4123-8782-AEB68B1B717D}">
  <sheetPr codeName="Planilha1"/>
  <dimension ref="A1:N3"/>
  <sheetViews>
    <sheetView workbookViewId="0">
      <selection activeCell="P5" sqref="P5:P6"/>
    </sheetView>
  </sheetViews>
  <sheetFormatPr defaultRowHeight="15" x14ac:dyDescent="0.25"/>
  <cols>
    <col min="1" max="1" width="11.42578125" style="21" bestFit="1" customWidth="1"/>
    <col min="2" max="2" width="10.28515625" style="21" bestFit="1" customWidth="1"/>
    <col min="3" max="3" width="18" style="21" bestFit="1" customWidth="1"/>
    <col min="4" max="4" width="12.7109375" style="21" bestFit="1" customWidth="1"/>
    <col min="5" max="5" width="27.28515625" style="35" bestFit="1" customWidth="1"/>
    <col min="6" max="6" width="3.7109375" style="40" customWidth="1"/>
    <col min="7" max="7" width="3.7109375" style="21" customWidth="1"/>
    <col min="8" max="8" width="11.42578125" style="21" bestFit="1" customWidth="1"/>
    <col min="9" max="9" width="14.5703125" style="35" bestFit="1" customWidth="1"/>
    <col min="10" max="10" width="10.85546875" style="40" bestFit="1" customWidth="1"/>
    <col min="11" max="11" width="3.7109375" style="21" customWidth="1"/>
    <col min="12" max="12" width="9.140625" style="21"/>
    <col min="13" max="13" width="10.5703125" style="35" bestFit="1" customWidth="1"/>
    <col min="14" max="14" width="10.85546875" style="40" bestFit="1" customWidth="1"/>
    <col min="15" max="16384" width="9.140625" style="21"/>
  </cols>
  <sheetData>
    <row r="1" spans="1:14" x14ac:dyDescent="0.25">
      <c r="A1" s="31" t="s">
        <v>32</v>
      </c>
      <c r="B1" s="31" t="s">
        <v>35</v>
      </c>
      <c r="C1" s="31" t="s">
        <v>3</v>
      </c>
      <c r="D1" s="31" t="s">
        <v>11</v>
      </c>
      <c r="E1" s="32" t="s">
        <v>37</v>
      </c>
      <c r="H1" s="31" t="s">
        <v>32</v>
      </c>
      <c r="I1" s="32" t="s">
        <v>27</v>
      </c>
      <c r="J1" s="32" t="s">
        <v>28</v>
      </c>
      <c r="L1" s="31" t="s">
        <v>35</v>
      </c>
      <c r="M1" s="32" t="s">
        <v>2269</v>
      </c>
      <c r="N1" s="32" t="s">
        <v>28</v>
      </c>
    </row>
    <row r="2" spans="1:14" x14ac:dyDescent="0.25">
      <c r="E2" s="40"/>
    </row>
    <row r="3" spans="1:14" x14ac:dyDescent="0.25">
      <c r="E3" s="40"/>
    </row>
  </sheetData>
  <sortState xmlns:xlrd2="http://schemas.microsoft.com/office/spreadsheetml/2017/richdata2" ref="L1:N1">
    <sortCondition ref="L2"/>
  </sortState>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993495-B1A2-4D60-AD17-0DF7D15241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13</vt:i4>
      </vt:variant>
      <vt:variant>
        <vt:lpstr>Intervalos Nomeados</vt:lpstr>
      </vt:variant>
      <vt:variant>
        <vt:i4>24</vt:i4>
      </vt:variant>
    </vt:vector>
  </HeadingPairs>
  <TitlesOfParts>
    <vt:vector size="37" baseType="lpstr">
      <vt:lpstr>Consolidado</vt:lpstr>
      <vt:lpstr>Portfolio</vt:lpstr>
      <vt:lpstr>Movimentações</vt:lpstr>
      <vt:lpstr>Rebalanceamento</vt:lpstr>
      <vt:lpstr>Preços</vt:lpstr>
      <vt:lpstr>Proventos</vt:lpstr>
      <vt:lpstr>Fechamento</vt:lpstr>
      <vt:lpstr>CDI</vt:lpstr>
      <vt:lpstr>Mov_Nacional</vt:lpstr>
      <vt:lpstr>Mov_Internacional</vt:lpstr>
      <vt:lpstr>Mov_Crypto</vt:lpstr>
      <vt:lpstr>Crypto</vt:lpstr>
      <vt:lpstr>Portfolio_Aux</vt:lpstr>
      <vt:lpstr>Acoes</vt:lpstr>
      <vt:lpstr>Movimentações!Corretagem</vt:lpstr>
      <vt:lpstr>Crypto</vt:lpstr>
      <vt:lpstr>Mov_Crypto!CV</vt:lpstr>
      <vt:lpstr>Movimentações!CV</vt:lpstr>
      <vt:lpstr>CV</vt:lpstr>
      <vt:lpstr>Mov_Crypto!Data</vt:lpstr>
      <vt:lpstr>Movimentações!Data</vt:lpstr>
      <vt:lpstr>Data</vt:lpstr>
      <vt:lpstr>Exterior</vt:lpstr>
      <vt:lpstr>FII</vt:lpstr>
      <vt:lpstr>Mov_Crypto!Preco</vt:lpstr>
      <vt:lpstr>Movimentações!Preco</vt:lpstr>
      <vt:lpstr>Preco</vt:lpstr>
      <vt:lpstr>Mov_Crypto!Quantidade</vt:lpstr>
      <vt:lpstr>Movimentações!Quantidade</vt:lpstr>
      <vt:lpstr>Quantidade</vt:lpstr>
      <vt:lpstr>Range_Dados_Usuario</vt:lpstr>
      <vt:lpstr>Range_Precos</vt:lpstr>
      <vt:lpstr>Renda_Fixa</vt:lpstr>
      <vt:lpstr>Movimentações!Taxas</vt:lpstr>
      <vt:lpstr>Mov_Crypto!Tikcer</vt:lpstr>
      <vt:lpstr>Movimentações!Tikcer</vt:lpstr>
      <vt:lpstr>Tikcer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Lavrado</dc:creator>
  <cp:lastModifiedBy>Fabio Silva</cp:lastModifiedBy>
  <cp:lastPrinted>2024-08-27T16:27:56Z</cp:lastPrinted>
  <dcterms:created xsi:type="dcterms:W3CDTF">2017-05-09T22:26:50Z</dcterms:created>
  <dcterms:modified xsi:type="dcterms:W3CDTF">2025-01-05T16:04:03Z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2024-10-11T16:56:37Z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193a670a-8abc-4bef-b8a7-465ddcbd391a</vt:lpwstr>
  </property>
  <property fmtid="{D5CDD505-2E9C-101B-9397-08002B2CF9AE}" pid="7" name="MSIP_Label_defa4170-0d19-0005-0004-bc88714345d2_ActionId">
    <vt:lpwstr>b789de15-8856-40ae-9a5f-32c8475c25f6</vt:lpwstr>
  </property>
  <property fmtid="{D5CDD505-2E9C-101B-9397-08002B2CF9AE}" pid="8" name="MSIP_Label_defa4170-0d19-0005-0004-bc88714345d2_ContentBits">
    <vt:lpwstr>0</vt:lpwstr>
  </property>
</Properties>
</file>